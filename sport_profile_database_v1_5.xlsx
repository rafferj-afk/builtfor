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User Input" sheetId="2" state="visible" r:id="rId2"/>
    <sheet name="Built For" sheetId="3" state="visible" r:id="rId3"/>
    <sheet name="You'd Enjoy" sheetId="4" state="visible" r:id="rId4"/>
    <sheet name="Best Overall" sheetId="5" state="visible" r:id="rId5"/>
    <sheet name="Scoring" sheetId="6" state="visible" r:id="rId6"/>
    <sheet name="Profiles" sheetId="7" state="visible" r:id="rId7"/>
    <sheet name="Sources" sheetId="8" state="visible" r:id="rId8"/>
    <sheet name="Schema notes" sheetId="9" state="visible" r:id="rId9"/>
    <sheet name="Scoring weight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1"/>
    </font>
    <font>
      <name val="Arial"/>
      <charset val="1"/>
      <family val="0"/>
      <b val="1"/>
      <sz val="12"/>
    </font>
    <font>
      <name val="Arial"/>
      <charset val="1"/>
      <family val="0"/>
      <sz val="10"/>
    </font>
    <font>
      <name val="Arial"/>
      <charset val="1"/>
      <family val="0"/>
      <i val="1"/>
      <sz val="10"/>
    </font>
    <font>
      <name val="Arial"/>
      <charset val="1"/>
      <family val="0"/>
      <b val="1"/>
      <color rgb="FFFFFFFF"/>
      <sz val="11"/>
    </font>
    <font>
      <name val="Arial"/>
      <charset val="1"/>
      <family val="0"/>
      <b val="1"/>
      <sz val="10"/>
    </font>
    <font>
      <name val="Arial"/>
      <charset val="1"/>
      <family val="0"/>
      <b val="1"/>
      <color rgb="FF0000FF"/>
      <sz val="11"/>
    </font>
    <font>
      <name val="Arial"/>
      <charset val="1"/>
      <family val="0"/>
      <i val="1"/>
      <sz val="9"/>
    </font>
    <font>
      <name val="Arial"/>
      <charset val="1"/>
      <family val="0"/>
      <b val="1"/>
      <sz val="16"/>
    </font>
    <font>
      <name val="Arial"/>
      <charset val="1"/>
      <family val="0"/>
      <i val="1"/>
      <color rgb="FF595959"/>
      <sz val="10"/>
    </font>
    <font>
      <name val="Arial"/>
      <family val="2"/>
      <sz val="10"/>
    </font>
    <font>
      <name val="Arial"/>
      <charset val="1"/>
      <family val="0"/>
      <b val="1"/>
      <color rgb="FFFFFFFF"/>
      <sz val="10"/>
    </font>
    <font>
      <name val="Arial"/>
      <sz val="10"/>
    </font>
  </fonts>
  <fills count="10">
    <fill>
      <patternFill/>
    </fill>
    <fill>
      <patternFill patternType="gray125"/>
    </fill>
    <fill>
      <patternFill patternType="solid">
        <fgColor rgb="FF2F5597"/>
        <bgColor rgb="FF4472C4"/>
      </patternFill>
    </fill>
    <fill>
      <patternFill patternType="solid">
        <fgColor rgb="FFFFF2CC"/>
        <bgColor rgb="FFFFFFFF"/>
      </patternFill>
    </fill>
    <fill>
      <patternFill patternType="solid">
        <fgColor rgb="FFBF8F00"/>
        <bgColor rgb="FFFF6600"/>
      </patternFill>
    </fill>
    <fill>
      <patternFill patternType="solid">
        <fgColor rgb="FF548235"/>
        <bgColor rgb="FF339966"/>
      </patternFill>
    </fill>
    <fill>
      <patternFill patternType="solid">
        <fgColor rgb="FF4472C4"/>
        <bgColor rgb="FF2F5597"/>
      </patternFill>
    </fill>
    <fill>
      <patternFill patternType="solid">
        <fgColor rgb="FF7030A0"/>
        <bgColor rgb="FF993366"/>
      </patternFill>
    </fill>
    <fill>
      <patternFill patternType="solid">
        <fgColor rgb="FF00723E"/>
        <bgColor rgb="FF008080"/>
      </patternFill>
    </fill>
    <fill>
      <patternFill patternType="solid">
        <fgColor rgb="FF595959"/>
        <bgColor rgb="FF2F5597"/>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bottom"/>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7" fillId="0" borderId="1" applyAlignment="1" pivotButton="0" quotePrefix="0" xfId="0">
      <alignment horizontal="general" vertical="top"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9"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2" borderId="0" applyAlignment="1" pivotButton="0" quotePrefix="0" xfId="0">
      <alignment horizontal="general" vertical="bottom"/>
    </xf>
    <xf numFmtId="0" fontId="7" fillId="0" borderId="1" applyAlignment="1" pivotButton="0" quotePrefix="0" xfId="0">
      <alignment horizontal="general" vertical="center" wrapText="1"/>
    </xf>
    <xf numFmtId="2" fontId="7" fillId="0" borderId="1" applyAlignment="1" pivotButton="0" quotePrefix="0" xfId="0">
      <alignment horizontal="general" vertical="center" wrapText="1"/>
    </xf>
    <xf numFmtId="164" fontId="7" fillId="0" borderId="1" applyAlignment="1" pivotButton="0" quotePrefix="0" xfId="0">
      <alignment horizontal="general" vertical="center" wrapText="1"/>
    </xf>
    <xf numFmtId="0" fontId="16" fillId="6" borderId="1" applyAlignment="1" pivotButton="0" quotePrefix="0" xfId="0">
      <alignment horizontal="center" vertical="center" wrapText="1"/>
    </xf>
    <xf numFmtId="0" fontId="16" fillId="5" borderId="1" applyAlignment="1" pivotButton="0" quotePrefix="0" xfId="0">
      <alignment horizontal="center" vertical="center" wrapText="1"/>
    </xf>
    <xf numFmtId="0" fontId="16" fillId="4" borderId="1" applyAlignment="1" pivotButton="0" quotePrefix="0" xfId="0">
      <alignment horizontal="center" vertical="center" wrapText="1"/>
    </xf>
    <xf numFmtId="0" fontId="16"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9" fillId="2" borderId="1" applyAlignment="1" pivotButton="0" quotePrefix="0" xfId="0">
      <alignment horizontal="general" vertical="top" wrapText="1"/>
    </xf>
    <xf numFmtId="0" fontId="10" fillId="0" borderId="0" applyAlignment="1" pivotButton="0" quotePrefix="0" xfId="0">
      <alignment horizontal="general"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17" fillId="0" borderId="0" applyAlignment="1" pivotButton="0" quotePrefix="0" xfId="0">
      <alignment vertical="top" wrapText="1"/>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bottom"/>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7" fillId="0" borderId="1" applyAlignment="1" pivotButton="0" quotePrefix="0" xfId="0">
      <alignment horizontal="general" vertical="top"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9"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7" fillId="0" borderId="1" applyAlignment="1" pivotButton="0" quotePrefix="0" xfId="0">
      <alignment horizontal="general" vertical="center" wrapText="1"/>
    </xf>
    <xf numFmtId="2" fontId="7" fillId="0" borderId="1" applyAlignment="1" pivotButton="0" quotePrefix="0" xfId="0">
      <alignment horizontal="general" vertical="center" wrapText="1"/>
    </xf>
    <xf numFmtId="164" fontId="7" fillId="0" borderId="1" applyAlignment="1" pivotButton="0" quotePrefix="0" xfId="0">
      <alignment horizontal="general" vertical="center" wrapText="1"/>
    </xf>
    <xf numFmtId="0" fontId="16" fillId="6" borderId="1" applyAlignment="1" pivotButton="0" quotePrefix="0" xfId="0">
      <alignment horizontal="center" vertical="center" wrapText="1"/>
    </xf>
    <xf numFmtId="0" fontId="0" fillId="0" borderId="4" pivotButton="0" quotePrefix="0" xfId="0"/>
    <xf numFmtId="0" fontId="0" fillId="0" borderId="5" pivotButton="0" quotePrefix="0" xfId="0"/>
    <xf numFmtId="0" fontId="16" fillId="5" borderId="1" applyAlignment="1" pivotButton="0" quotePrefix="0" xfId="0">
      <alignment horizontal="center" vertical="center" wrapText="1"/>
    </xf>
    <xf numFmtId="0" fontId="16" fillId="4" borderId="1" applyAlignment="1" pivotButton="0" quotePrefix="0" xfId="0">
      <alignment horizontal="center" vertical="center" wrapText="1"/>
    </xf>
    <xf numFmtId="0" fontId="16"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0" borderId="6" applyAlignment="1" pivotButton="0" quotePrefix="0" xfId="0">
      <alignment vertical="top" wrapText="1"/>
    </xf>
    <xf numFmtId="0" fontId="9" fillId="2" borderId="1" applyAlignment="1" pivotButton="0" quotePrefix="0" xfId="0">
      <alignment horizontal="general" vertical="top" wrapText="1"/>
    </xf>
    <xf numFmtId="0" fontId="10" fillId="0" borderId="0" applyAlignment="1" pivotButton="0" quotePrefix="0" xfId="0">
      <alignment horizontal="general"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723E"/>
      <rgbColor rgb="FF000080"/>
      <rgbColor rgb="FF548235"/>
      <rgbColor rgb="FF800080"/>
      <rgbColor rgb="FF008080"/>
      <rgbColor rgb="FFBFBFBF"/>
      <rgbColor rgb="FF808080"/>
      <rgbColor rgb="FF9999FF"/>
      <rgbColor rgb="FF7030A0"/>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2F559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Unknown Author</author>
  </authors>
  <commentList>
    <comment ref="S1" authorId="0" shapeId="0">
      <text>
        <t>Sort this column descending to see the best matches first. Highlight all data rows and use Data → Sort → Column S → Largest to Smallest.</t>
      </text>
    </comment>
  </commentList>
</comments>
</file>

<file path=xl/comments/comment2.xml><?xml version="1.0" encoding="utf-8"?>
<comments xmlns="http://schemas.openxmlformats.org/spreadsheetml/2006/main">
  <authors>
    <author>Unknown Author</author>
  </authors>
  <commentList>
    <comment ref="M2" authorId="0" shapeId="0">
      <text>
        <t>1–10 scale, subjective assessment from the literature. 10 = sport is fundamentally limited by this quality at elite level. These are starting estimates to be refined once the matching model is being tested.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36" min="1" max="1"/>
  </cols>
  <sheetData>
    <row r="1" ht="18" customHeight="1" s="37">
      <c r="A1" s="38" t="inlineStr">
        <is>
          <t>Sport Profile Database — v1.5</t>
        </is>
      </c>
    </row>
    <row r="2" ht="18" customHeight="1" s="37">
      <c r="A2" s="39" t="n"/>
    </row>
    <row r="3" ht="18" customHeight="1" s="37">
      <c r="A3" s="40" t="inlineStr">
        <is>
          <t>Purpose</t>
        </is>
      </c>
    </row>
    <row r="4" ht="30" customHeight="1" s="37">
      <c r="A4" s="41" t="inlineStr">
        <is>
          <t>Reference dataset of elite-athlete anthropometric and performance profiles, used as the basis for matching users to sports based on body measurements and preferences. Built to be expanded to 40–60 sports before any matching logic is written.</t>
        </is>
      </c>
    </row>
    <row r="5" ht="18" customHeight="1" s="37">
      <c r="A5" s="41" t="n"/>
    </row>
    <row r="6" ht="18" customHeight="1" s="37">
      <c r="A6" s="40" t="inlineStr">
        <is>
          <t>Sheets</t>
        </is>
      </c>
    </row>
    <row r="7" ht="30" customHeight="1" s="37">
      <c r="A7" s="41" t="inlineStr">
        <is>
          <t>• Profiles — one row per sport (or position). Mean and SD where available. All numeric cells should cite a source via the Source ID column.</t>
        </is>
      </c>
    </row>
    <row r="8" ht="18" customHeight="1" s="37">
      <c r="A8" s="41" t="inlineStr">
        <is>
          <t>• Sources — bibliography. Every numeric figure on Profiles refers back to a Source ID here.</t>
        </is>
      </c>
    </row>
    <row r="9" ht="18" customHeight="1" s="37">
      <c r="A9" s="41" t="inlineStr">
        <is>
          <t>• Schema notes — definitions and scoring conventions for each column.</t>
        </is>
      </c>
    </row>
    <row r="10" ht="18" customHeight="1" s="37">
      <c r="A10" s="41" t="inlineStr">
        <is>
          <t>• Scoring weights — placeholder for the matching model. Not used yet.</t>
        </is>
      </c>
    </row>
    <row r="11" ht="18" customHeight="1" s="37">
      <c r="A11" s="41" t="n"/>
    </row>
    <row r="12" ht="18" customHeight="1" s="37">
      <c r="A12" s="40" t="inlineStr">
        <is>
          <t>Conventions</t>
        </is>
      </c>
    </row>
    <row r="13" ht="18" customHeight="1" s="37">
      <c r="A13" s="41" t="inlineStr">
        <is>
          <t>• Units: cm for height/wingspan, kg for weight, % for body fat. Always SI.</t>
        </is>
      </c>
    </row>
    <row r="14" ht="18" customHeight="1" s="37">
      <c r="A14" s="41" t="inlineStr">
        <is>
          <t>• Mean ± SD where the source provides it. Single values where only a mean is reported.</t>
        </is>
      </c>
    </row>
    <row r="15" ht="30" customHeight="1" s="37">
      <c r="A15" s="41" t="inlineStr">
        <is>
          <t>• Demand scores (aerobic, anaerobic, strength, power, etc.) are 1–10 estimates assigned from the literature. These are subjective and the first thing to revisit once the model is tested.</t>
        </is>
      </c>
    </row>
    <row r="16" ht="30" customHeight="1" s="37">
      <c r="A16" s="41" t="inlineStr">
        <is>
          <t>• Sex: data is for male elite athletes unless noted in the Notes column. Female profiles should be added as separate rows once the schema is validated.</t>
        </is>
      </c>
    </row>
    <row r="17" ht="30" customHeight="1" s="37">
      <c r="A17" s="41" t="inlineStr">
        <is>
          <t>• Survivorship caveat: elite profiles describe who made it to the top, not who enjoys the sport or can be decent at it. Use for the 'built for' bucket, not the 'enjoy' bucket.</t>
        </is>
      </c>
    </row>
    <row r="18" ht="18" customHeight="1" s="37">
      <c r="A18" s="41" t="n"/>
    </row>
    <row r="19" ht="18" customHeight="1" s="37">
      <c r="A19" s="40" t="inlineStr">
        <is>
          <t>Open questions before expansion</t>
        </is>
      </c>
    </row>
    <row r="20" ht="18" customHeight="1" s="37">
      <c r="A20" s="41" t="inlineStr">
        <is>
          <t>• Split team sports by position? (rugby forward vs back are different humans — currently split.)</t>
        </is>
      </c>
    </row>
    <row r="21" ht="18" customHeight="1" s="37">
      <c r="A21" s="41" t="inlineStr">
        <is>
          <t>• Add female profiles as separate rows, or add columns to each row?</t>
        </is>
      </c>
    </row>
    <row r="22" ht="18" customHeight="1" s="37">
      <c r="A22" s="41" t="inlineStr">
        <is>
          <t>• How to weight 'mean' vs 'SD' — a tight SD is itself a signal of how strict the constraint is.</t>
        </is>
      </c>
    </row>
    <row r="23" ht="30" customHeight="1" s="37">
      <c r="A23" s="41" t="inlineStr">
        <is>
          <t>• Performance proxies (vertical jump, plank, etc.) not yet populated — easier to fill once the schema is stable.</t>
        </is>
      </c>
    </row>
    <row r="24" ht="18" customHeight="1" s="37">
      <c r="A24" s="41" t="n"/>
    </row>
    <row r="25" ht="18" customHeight="1" s="37">
      <c r="A25" s="40" t="inlineStr">
        <is>
          <t>Next steps</t>
        </is>
      </c>
    </row>
    <row r="26" ht="18" customHeight="1" s="37">
      <c r="A26" s="41" t="inlineStr">
        <is>
          <t>1. Validate schema with these 10 sports.</t>
        </is>
      </c>
    </row>
    <row r="27" ht="18" customHeight="1" s="37">
      <c r="A27" s="41" t="inlineStr">
        <is>
          <t>2. Manually run 5–10 self-profiles through it to see if the 'built for' output is sensible.</t>
        </is>
      </c>
    </row>
    <row r="28" ht="30" customHeight="1" s="37">
      <c r="A28" s="41" t="inlineStr">
        <is>
          <t>3. Expand to 40–60 sports, prioritising accessible Irish ones (running, cycling, climbing, GAA, rowing, swimming, racquet sports, martial arts, etc.).</t>
        </is>
      </c>
    </row>
    <row r="29" ht="18" customHeight="1" s="37">
      <c r="A29" s="41" t="inlineStr">
        <is>
          <t>4. Only then start building the input model and scoring logic.</t>
        </is>
      </c>
    </row>
    <row r="31" ht="15" customHeight="1" s="37">
      <c r="A31" s="42" t="inlineStr">
        <is>
          <t>Version history</t>
        </is>
      </c>
    </row>
    <row r="32" ht="48" customHeight="1" s="37">
      <c r="A32" s="41" t="inlineStr">
        <is>
          <t>v0.1 — 10 founder sports (with positional splits for soccer, basketball, rugby): soccer, basketball, distance running, road cycling, swimming, rugby union, gymnastics, rowing, tennis, Gaelic football, sprinting, climbing.</t>
        </is>
      </c>
    </row>
    <row r="33" ht="60" customHeight="1" s="37">
      <c r="A33" s="41" t="inlineStr">
        <is>
          <t>v0.2 — added combat sports (boxing heavyweight &amp; lightweight, MMA, judo, BJJ, wrestling, taekwondo, kickboxing), racquet sports (badminton, squash, table tennis), and strength sports (powerlifting, Olympic weightlifting, strongman). First female-specific rows added for judo and gymnastics; remaining female profiles to follow in v0.3.</t>
        </is>
      </c>
    </row>
    <row r="34" ht="79.5" customHeight="1" s="37">
      <c r="A34" s="41" t="inlineStr">
        <is>
          <t>v0.3 — added winter sports (cross-country skiing, biathlon, alpine skiing tech &amp; speed, ice hockey), water sports (water polo, kayak sprint, sailing Finn-class, sailing dinghy), team sports (volleyball, handball by position, field hockey), and a dedicated GAA section (hurling positional split, camogie, ladies Gaelic football). The GAA expansion is now the richest sport-family in the database — appropriate for the Irish market focus.</t>
        </is>
      </c>
    </row>
    <row r="35" ht="79.5" customHeight="1" s="37">
      <c r="A35" s="41" t="inlineStr">
        <is>
          <t>v0.4 — major female-data backfill across team sports (volleyball F, handball F, ice hockey F, field hockey F, water polo positions, futsal F). Added specialised codes: NFL American football by position group (linemen / skill / quarterback), AFL &amp; AFLW, netball by position, lacrosse, futsal. Sex asymmetry now substantially reduced — most major team sports have at least male and female rows.</t>
        </is>
      </c>
    </row>
    <row r="36" ht="99.75" customHeight="1" s="37">
      <c r="A36" s="41" t="inlineStr">
        <is>
          <t>v1.0 — added the working scoring model. The database now functions as a matcher: enter your measurements and preferences on the User Input sheet, and the Scoring sheet returns a ranked list of all 78 sports with separate 'Built For' (physiological fit) and 'Enjoyment' (preference fit) scores plus a combined Total. All scoring is in Excel formulas — auditable, transparent, and a direct template for the JavaScript port when this becomes an app.</t>
        </is>
      </c>
    </row>
    <row r="37" ht="90" customHeight="1" s="37">
      <c r="A37" s="41" t="inlineStr">
        <is>
          <t>v1.1 — added three ranked-results sheets that present the scoring output as the user would see it in the app: 'Built For' (top sports by physiological fit), 'You'd Enjoy' (top sports by preference fit), and 'Best Overall' (sports scoring well on both — the actual recommendation). These three views are the prototype's product surface — the raw Scoring sheet is the engine; these are the screens.</t>
        </is>
      </c>
    </row>
    <row r="38" ht="99.75" customHeight="1" s="37">
      <c r="A38" s="41" t="inlineStr">
        <is>
          <t>v1.2 — fixed two scoring bugs surfaced in user testing. (1) Sex-match logic now uses an explicit Sex column on the Profiles sheet instead of guessing from the sport ID suffix, so female-only sports like camogie and ladies Gaelic football are correctly excluded for male users. (2) Team/solo 'Either' option now blends team-fit and solo-fit fairly instead of treating every sport as a perfect match — picking 'Either' now produces a genuinely different ranking from picking 'Team' or 'Solo'.</t>
        </is>
      </c>
    </row>
    <row r="39" ht="79.5" customHeight="1" s="37">
      <c r="A39" s="41" t="inlineStr">
        <is>
          <t>v1.3 — sex match is now a strict filter both ways. Male users see only M-tagged rows; female users see only F-tagged rows. The previous 0.3 partial-credit for opposite-sex rows is removed to avoid the appearance of recommending sports for the wrong sex.</t>
        </is>
      </c>
    </row>
    <row r="40" ht="80" customHeight="1" s="37">
      <c r="A40" s="43" t="inlineStr">
        <is>
          <t>v1.4 — added 13 distinctive sports (with female pairs where data exists): javelin, discus, shot put, high jump, long jump, triple jump, pole vault, triathlon, pickleball, arm wrestling, curling, surfing, and ultimate frisbee. These widen the recommendation surface and increase the chance the app surprises users with matches they hadn't considered. Total rows now 99.</t>
        </is>
      </c>
    </row>
    <row r="41" ht="60" customHeight="1" s="37">
      <c r="A41" s="43" t="inlineStr">
        <is>
          <t>v1.5 — bug fix: corrected the sex tag on three female-only sport rows that were wrongly marked M (gymnastics SP07, netball SP42, netball SP42b). The v1.2 sex-tagging logic only flagged F based on ID suffix or a narrow hardcoded name list, so these slipped through.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0" customWidth="1" style="36" min="1" max="1"/>
    <col width="18" customWidth="1" style="36" min="2" max="2"/>
    <col width="60" customWidth="1" style="36" min="3" max="3"/>
    <col width="5" customWidth="1" style="36" min="4" max="4"/>
  </cols>
  <sheetData>
    <row r="1" ht="17.25" customHeight="1" s="37">
      <c r="A1" s="44" t="inlineStr">
        <is>
          <t>User Input — fill in the BLUE cells</t>
        </is>
      </c>
    </row>
    <row r="2" ht="15" customHeight="1" s="37">
      <c r="A2" s="45" t="inlineStr">
        <is>
          <t>Yellow background = editable. Blue text = your data. The Scoring sheet recalculates automatically.</t>
        </is>
      </c>
    </row>
    <row r="4" ht="15" customHeight="1" s="37">
      <c r="A4" s="46" t="inlineStr">
        <is>
          <t>Identity &amp; demographics</t>
        </is>
      </c>
    </row>
    <row r="6" ht="15" customHeight="1" s="37">
      <c r="A6" s="47" t="inlineStr">
        <is>
          <t>Sex (M / F)</t>
        </is>
      </c>
      <c r="B6" s="48" t="inlineStr">
        <is>
          <t>M</t>
        </is>
      </c>
      <c r="C6" s="49" t="inlineStr">
        <is>
          <t>Hard filter — only sports rows matching this sex (or unisex-coded) are returned.</t>
        </is>
      </c>
    </row>
    <row r="7" ht="15" customHeight="1" s="37">
      <c r="A7" s="47" t="inlineStr">
        <is>
          <t>Archetype (endurance / strength / explosive / skill / balanced / untrained)</t>
        </is>
      </c>
      <c r="B7" s="48" t="inlineStr">
        <is>
          <t>balanced</t>
        </is>
      </c>
      <c r="C7" s="49" t="inlineStr">
        <is>
          <t>Replaces 8 self-rated ability scores. Pick: endurance / strength / explosive / skill / balanced / untrained.</t>
        </is>
      </c>
    </row>
    <row r="8" ht="15" customHeight="1" s="37">
      <c r="A8" s="46" t="inlineStr">
        <is>
          <t>Body measurements</t>
        </is>
      </c>
    </row>
    <row r="9" ht="15" customHeight="1" s="37">
      <c r="A9" s="47" t="inlineStr">
        <is>
          <t>Height (cm)</t>
        </is>
      </c>
      <c r="B9" s="48" t="n">
        <v>183</v>
      </c>
      <c r="C9" s="49" t="inlineStr">
        <is>
          <t>Standing height without shoes.</t>
        </is>
      </c>
    </row>
    <row r="10" ht="15" customHeight="1" s="37">
      <c r="A10" s="47" t="inlineStr">
        <is>
          <t>Weight (kg)</t>
        </is>
      </c>
      <c r="B10" s="48" t="n">
        <v>88</v>
      </c>
      <c r="C10" s="49" t="inlineStr">
        <is>
          <t>Current body weight.</t>
        </is>
      </c>
    </row>
    <row r="11" ht="15" customHeight="1" s="37">
      <c r="A11" s="47" t="inlineStr">
        <is>
          <t>BMI (auto)</t>
        </is>
      </c>
      <c r="B11" s="50">
        <f>B10/((B9/100)^2)</f>
        <v/>
      </c>
      <c r="C11" s="49" t="inlineStr">
        <is>
          <t>Auto-calculated from height and weight.</t>
        </is>
      </c>
    </row>
    <row r="12" ht="15" customHeight="1" s="37">
      <c r="A12" s="47" t="inlineStr">
        <is>
          <t>Body fat % (estimate)</t>
        </is>
      </c>
      <c r="B12" s="48" t="n">
        <v>14</v>
      </c>
      <c r="C12" s="49" t="inlineStr">
        <is>
          <t>Best estimate — skinfold, BIA, or visual estimate.</t>
        </is>
      </c>
    </row>
    <row r="13" ht="21.75" customHeight="1" s="37">
      <c r="A13" s="47" t="inlineStr">
        <is>
          <t>Wingspan (cm, optional)</t>
        </is>
      </c>
      <c r="B13" s="48" t="n">
        <v>188</v>
      </c>
      <c r="C13" s="49" t="inlineStr">
        <is>
          <t>Arm span — fingertip to fingertip. Leave blank if not measured (will fall back to height).</t>
        </is>
      </c>
    </row>
    <row r="14" ht="15" customHeight="1" s="37">
      <c r="A14" s="47" t="inlineStr">
        <is>
          <t>Wingspan / height ratio (auto)</t>
        </is>
      </c>
      <c r="B14" s="50">
        <f>IF(B13="",1,B13/B9)</f>
        <v/>
      </c>
      <c r="C14" s="49" t="inlineStr">
        <is>
          <t>Auto-calculated. 1.0 = wingspan equals height. NBA average is 1.063.</t>
        </is>
      </c>
    </row>
    <row r="16" ht="15" customHeight="1" s="37">
      <c r="A16" s="46" t="inlineStr">
        <is>
          <t>Derived demand profile (from archetype — do not edit)</t>
        </is>
      </c>
    </row>
    <row r="17" ht="15" customHeight="1" s="37">
      <c r="A17" s="47" t="inlineStr">
        <is>
          <t>Aerobic endurance</t>
        </is>
      </c>
      <c r="B17" s="48">
        <f>IFERROR(INDEX($B$47:$I$52,MATCH($B$7,$A$47:$A$52,0),1),5)</f>
        <v/>
      </c>
      <c r="C17" s="49" t="inlineStr">
        <is>
          <t>Auto-derived from archetype. Do not edit.</t>
        </is>
      </c>
    </row>
    <row r="18" ht="15" customHeight="1" s="37">
      <c r="A18" s="47" t="inlineStr">
        <is>
          <t>Anaerobic capacity</t>
        </is>
      </c>
      <c r="B18" s="48">
        <f>IFERROR(INDEX($B$47:$I$52,MATCH($B$7,$A$47:$A$52,0),2),5)</f>
        <v/>
      </c>
      <c r="C18" s="49" t="inlineStr">
        <is>
          <t>Auto-derived from archetype. Do not edit.</t>
        </is>
      </c>
    </row>
    <row r="19" ht="15" customHeight="1" s="37">
      <c r="A19" s="47" t="inlineStr">
        <is>
          <t>Max strength</t>
        </is>
      </c>
      <c r="B19" s="48">
        <f>IFERROR(INDEX($B$47:$I$52,MATCH($B$7,$A$47:$A$52,0),3),5)</f>
        <v/>
      </c>
      <c r="C19" s="49" t="inlineStr">
        <is>
          <t>Auto-derived from archetype. Do not edit.</t>
        </is>
      </c>
    </row>
    <row r="20" ht="15" customHeight="1" s="37">
      <c r="A20" s="47" t="inlineStr">
        <is>
          <t>Explosive power</t>
        </is>
      </c>
      <c r="B20" s="48">
        <f>IFERROR(INDEX($B$47:$I$52,MATCH($B$7,$A$47:$A$52,0),4),5)</f>
        <v/>
      </c>
      <c r="C20" s="49" t="inlineStr">
        <is>
          <t>Auto-derived from archetype. Do not edit.</t>
        </is>
      </c>
    </row>
    <row r="21" ht="15" customHeight="1" s="37">
      <c r="A21" s="47" t="inlineStr">
        <is>
          <t>Pure speed</t>
        </is>
      </c>
      <c r="B21" s="48">
        <f>IFERROR(INDEX($B$47:$I$52,MATCH($B$7,$A$47:$A$52,0),5),5)</f>
        <v/>
      </c>
      <c r="C21" s="49" t="inlineStr">
        <is>
          <t>Auto-derived from archetype. Do not edit.</t>
        </is>
      </c>
    </row>
    <row r="22" ht="15" customHeight="1" s="37">
      <c r="A22" s="47" t="inlineStr">
        <is>
          <t>Flexibility / mobility</t>
        </is>
      </c>
      <c r="B22" s="48">
        <f>IFERROR(INDEX($B$47:$I$52,MATCH($B$7,$A$47:$A$52,0),6),5)</f>
        <v/>
      </c>
      <c r="C22" s="49" t="inlineStr">
        <is>
          <t>Auto-derived from archetype. Do not edit.</t>
        </is>
      </c>
    </row>
    <row r="23" ht="15" customHeight="1" s="37">
      <c r="A23" s="47" t="inlineStr">
        <is>
          <t>Coordination / skill</t>
        </is>
      </c>
      <c r="B23" s="48">
        <f>IFERROR(INDEX($B$47:$I$52,MATCH($B$7,$A$47:$A$52,0),7),5)</f>
        <v/>
      </c>
      <c r="C23" s="49" t="inlineStr">
        <is>
          <t>Auto-derived from archetype. Do not edit.</t>
        </is>
      </c>
    </row>
    <row r="24" ht="15" customHeight="1" s="37">
      <c r="A24" s="47" t="inlineStr">
        <is>
          <t>Reaction time</t>
        </is>
      </c>
      <c r="B24" s="48">
        <f>IFERROR(INDEX($B$47:$I$52,MATCH($B$7,$A$47:$A$52,0),8),5)</f>
        <v/>
      </c>
      <c r="C24" s="49" t="inlineStr">
        <is>
          <t>Auto-derived from archetype. Do not edit.</t>
        </is>
      </c>
    </row>
    <row r="26" ht="15" customHeight="1" s="37">
      <c r="A26" s="46" t="inlineStr">
        <is>
          <t>Preferences &amp; constraints</t>
        </is>
      </c>
    </row>
    <row r="27" ht="15" customHeight="1" s="37">
      <c r="A27" s="47" t="inlineStr">
        <is>
          <t>Team vs solo preference (Team / Solo / Either)</t>
        </is>
      </c>
      <c r="B27" s="48" t="inlineStr">
        <is>
          <t>Team</t>
        </is>
      </c>
      <c r="C27" s="49" t="inlineStr">
        <is>
          <t>Hard preference. 'Either' opens up both.</t>
        </is>
      </c>
    </row>
    <row r="28" ht="15" customHeight="1" s="37">
      <c r="A28" s="47" t="inlineStr">
        <is>
          <t>Contact tolerance (None / Light / Medium / Heavy)</t>
        </is>
      </c>
      <c r="B28" s="48" t="inlineStr">
        <is>
          <t>Heavy</t>
        </is>
      </c>
      <c r="C28" s="49" t="inlineStr">
        <is>
          <t>Maximum contact you're happy with. Sports exceeding this are penalised.</t>
        </is>
      </c>
    </row>
    <row r="29" ht="15" customHeight="1" s="37">
      <c r="A29" s="47" t="inlineStr">
        <is>
          <t>Outdoor importance (essential / nice / neutral / indoor)</t>
        </is>
      </c>
      <c r="B29" s="48" t="inlineStr">
        <is>
          <t>nice</t>
        </is>
      </c>
      <c r="C29" s="49" t="inlineStr">
        <is>
          <t>"essential" = must be outdoor; "nice" = prefer outdoor; "neutral" = no preference; "indoor" = prefer indoor.</t>
        </is>
      </c>
    </row>
    <row r="30" ht="15" customHeight="1" s="37">
      <c r="A30" s="47" t="inlineStr">
        <is>
          <t>Comfortable in water? (Yes / No)</t>
        </is>
      </c>
      <c r="B30" s="48" t="inlineStr">
        <is>
          <t>Yes</t>
        </is>
      </c>
      <c r="C30" s="49" t="inlineStr">
        <is>
          <t>If No, all water-based sports are excluded.</t>
        </is>
      </c>
    </row>
    <row r="31" ht="21.75" customHeight="1" s="37">
      <c r="A31" s="47" t="inlineStr">
        <is>
          <t>Budget for equipment (Low / Medium / High)</t>
        </is>
      </c>
      <c r="B31" s="48" t="inlineStr">
        <is>
          <t>Medium</t>
        </is>
      </c>
      <c r="C31" s="49" t="inlineStr">
        <is>
          <t>Low &lt;€200, Medium €200–1000, High &gt;€1000 to start. Sports exceeding budget are penalised.</t>
        </is>
      </c>
    </row>
    <row r="32" ht="15" customHeight="1" s="37">
      <c r="A32" s="47" t="inlineStr">
        <is>
          <t>Ireland-based? (Yes / No)</t>
        </is>
      </c>
      <c r="B32" s="48" t="inlineStr">
        <is>
          <t>Yes</t>
        </is>
      </c>
      <c r="C32" s="49" t="inlineStr">
        <is>
          <t>If Yes, the Ireland-accessibility weight kicks in.</t>
        </is>
      </c>
    </row>
    <row r="33">
      <c r="A33" s="36" t="inlineStr">
        <is>
          <t>Experience (none / short / medium / long)</t>
        </is>
      </c>
      <c r="B33" s="36" t="inlineStr">
        <is>
          <t>medium</t>
        </is>
      </c>
      <c r="C33" s="36" t="inlineStr">
        <is>
          <t>"none"=never competed; "short"=under 2y; "medium"=2-5y; "long"=over 5y. Sports requiring childhood entry get 0.7x enjoyment for "none".</t>
        </is>
      </c>
    </row>
    <row r="34">
      <c r="A34" s="36" t="inlineStr">
        <is>
          <t>Sports enjoyed — team_field? (Yes/No)</t>
        </is>
      </c>
      <c r="B34" s="36" t="inlineStr">
        <is>
          <t>No</t>
        </is>
      </c>
      <c r="C34" s="36" t="inlineStr">
        <is>
          <t>Yes = 15% enjoyment boost for sports in this category. (GAA, soccer, rugby, hockey, AFL)</t>
        </is>
      </c>
    </row>
    <row r="35">
      <c r="A35" s="36" t="inlineStr">
        <is>
          <t>Sports enjoyed — team_court? (Yes/No)</t>
        </is>
      </c>
      <c r="B35" s="36" t="inlineStr">
        <is>
          <t>No</t>
        </is>
      </c>
      <c r="C35" s="36" t="inlineStr">
        <is>
          <t>Yes = 15% enjoyment boost for sports in this category. (Basketball, volleyball, netball)</t>
        </is>
      </c>
    </row>
    <row r="36">
      <c r="A36" s="36" t="inlineStr">
        <is>
          <t>Sports enjoyed — racquet? (Yes/No)</t>
        </is>
      </c>
      <c r="B36" s="36" t="inlineStr">
        <is>
          <t>No</t>
        </is>
      </c>
      <c r="C36" s="36" t="inlineStr">
        <is>
          <t>Yes = 15% enjoyment boost for sports in this category. (Tennis, badminton, squash, table tennis)</t>
        </is>
      </c>
    </row>
    <row r="37">
      <c r="A37" s="36" t="inlineStr">
        <is>
          <t>Sports enjoyed — combat? (Yes/No)</t>
        </is>
      </c>
      <c r="B37" s="36" t="inlineStr">
        <is>
          <t>No</t>
        </is>
      </c>
      <c r="C37" s="36" t="inlineStr">
        <is>
          <t>Yes = 15% enjoyment boost for sports in this category. (Boxing, MMA, wrestling, judo, taekwondo)</t>
        </is>
      </c>
    </row>
    <row r="38">
      <c r="A38" s="36" t="inlineStr">
        <is>
          <t>Sports enjoyed — water? (Yes/No)</t>
        </is>
      </c>
      <c r="B38" s="36" t="inlineStr">
        <is>
          <t>No</t>
        </is>
      </c>
      <c r="C38" s="36" t="inlineStr">
        <is>
          <t>Yes = 15% enjoyment boost for sports in this category. (Swimming, surfing, sailing, water polo)</t>
        </is>
      </c>
    </row>
    <row r="39">
      <c r="A39" s="36" t="inlineStr">
        <is>
          <t>Sports enjoyed — endurance? (Yes/No)</t>
        </is>
      </c>
      <c r="B39" s="36" t="inlineStr">
        <is>
          <t>No</t>
        </is>
      </c>
      <c r="C39" s="36" t="inlineStr">
        <is>
          <t>Yes = 15% enjoyment boost for sports in this category. (Running, cycling, triathlon, rowing)</t>
        </is>
      </c>
    </row>
    <row r="40">
      <c r="A40" s="36" t="inlineStr">
        <is>
          <t>Sports enjoyed — strength? (Yes/No)</t>
        </is>
      </c>
      <c r="B40" s="36" t="inlineStr">
        <is>
          <t>No</t>
        </is>
      </c>
      <c r="C40" s="36" t="inlineStr">
        <is>
          <t>Yes = 15% enjoyment boost for sports in this category. (Weightlifting, powerlifting, shot put)</t>
        </is>
      </c>
    </row>
    <row r="41">
      <c r="A41" s="36" t="inlineStr">
        <is>
          <t>Sports enjoyed — technical? (Yes/No)</t>
        </is>
      </c>
      <c r="B41" s="36" t="inlineStr">
        <is>
          <t>No</t>
        </is>
      </c>
      <c r="C41" s="36" t="inlineStr">
        <is>
          <t>Yes = 15% enjoyment boost for sports in this category. (Climbing, gymnastics, dance, archery)</t>
        </is>
      </c>
    </row>
    <row r="42">
      <c r="A42" s="36" t="inlineStr">
        <is>
          <t>Age group (under30 / 30to45 / 46to60 / 61plus)</t>
        </is>
      </c>
      <c r="B42" s="36" t="inlineStr">
        <is>
          <t>under30</t>
        </is>
      </c>
    </row>
    <row r="43">
      <c r="A43" s="36" t="inlineStr">
        <is>
          <t>Injury status (none / minor / joint / significant)</t>
        </is>
      </c>
      <c r="B43" s="36" t="inlineStr">
        <is>
          <t>none</t>
        </is>
      </c>
    </row>
    <row r="45">
      <c r="A45" s="36" t="inlineStr">
        <is>
          <t>Archetype demand lookup table (read-only reference)</t>
        </is>
      </c>
    </row>
    <row r="46">
      <c r="A46" s="36" t="inlineStr">
        <is>
          <t>Archetype</t>
        </is>
      </c>
      <c r="B46" s="36" t="inlineStr">
        <is>
          <t>Aerobic</t>
        </is>
      </c>
      <c r="C46" s="36" t="inlineStr">
        <is>
          <t>Anaerobic</t>
        </is>
      </c>
      <c r="D46" s="36" t="inlineStr">
        <is>
          <t>Max strength</t>
        </is>
      </c>
      <c r="E46" s="36" t="inlineStr">
        <is>
          <t>Power</t>
        </is>
      </c>
      <c r="F46" s="36" t="inlineStr">
        <is>
          <t>Speed</t>
        </is>
      </c>
      <c r="G46" s="36" t="inlineStr">
        <is>
          <t>Flexibility</t>
        </is>
      </c>
      <c r="H46" s="36" t="inlineStr">
        <is>
          <t>Coordination</t>
        </is>
      </c>
      <c r="I46" s="36" t="inlineStr">
        <is>
          <t>Reaction</t>
        </is>
      </c>
    </row>
    <row r="47">
      <c r="A47" s="36" t="inlineStr">
        <is>
          <t>endurance</t>
        </is>
      </c>
      <c r="B47" s="36" t="n">
        <v>9</v>
      </c>
      <c r="C47" s="36" t="n">
        <v>7</v>
      </c>
      <c r="D47" s="36" t="n">
        <v>4</v>
      </c>
      <c r="E47" s="36" t="n">
        <v>5</v>
      </c>
      <c r="F47" s="36" t="n">
        <v>6</v>
      </c>
      <c r="G47" s="36" t="n">
        <v>5</v>
      </c>
      <c r="H47" s="36" t="n">
        <v>6</v>
      </c>
      <c r="I47" s="36" t="n">
        <v>5</v>
      </c>
    </row>
    <row r="48">
      <c r="A48" s="36" t="inlineStr">
        <is>
          <t>strength</t>
        </is>
      </c>
      <c r="B48" s="36" t="n">
        <v>4</v>
      </c>
      <c r="C48" s="36" t="n">
        <v>6</v>
      </c>
      <c r="D48" s="36" t="n">
        <v>9</v>
      </c>
      <c r="E48" s="36" t="n">
        <v>8</v>
      </c>
      <c r="F48" s="36" t="n">
        <v>4</v>
      </c>
      <c r="G48" s="36" t="n">
        <v>4</v>
      </c>
      <c r="H48" s="36" t="n">
        <v>5</v>
      </c>
      <c r="I48" s="36" t="n">
        <v>5</v>
      </c>
    </row>
    <row r="49">
      <c r="A49" s="36" t="inlineStr">
        <is>
          <t>explosive</t>
        </is>
      </c>
      <c r="B49" s="36" t="n">
        <v>5</v>
      </c>
      <c r="C49" s="36" t="n">
        <v>9</v>
      </c>
      <c r="D49" s="36" t="n">
        <v>7</v>
      </c>
      <c r="E49" s="36" t="n">
        <v>9</v>
      </c>
      <c r="F49" s="36" t="n">
        <v>9</v>
      </c>
      <c r="G49" s="36" t="n">
        <v>6</v>
      </c>
      <c r="H49" s="36" t="n">
        <v>7</v>
      </c>
      <c r="I49" s="36" t="n">
        <v>8</v>
      </c>
    </row>
    <row r="50">
      <c r="A50" s="36" t="inlineStr">
        <is>
          <t>skill</t>
        </is>
      </c>
      <c r="B50" s="36" t="n">
        <v>6</v>
      </c>
      <c r="C50" s="36" t="n">
        <v>6</v>
      </c>
      <c r="D50" s="36" t="n">
        <v>5</v>
      </c>
      <c r="E50" s="36" t="n">
        <v>6</v>
      </c>
      <c r="F50" s="36" t="n">
        <v>6</v>
      </c>
      <c r="G50" s="36" t="n">
        <v>7</v>
      </c>
      <c r="H50" s="36" t="n">
        <v>9</v>
      </c>
      <c r="I50" s="36" t="n">
        <v>9</v>
      </c>
    </row>
    <row r="51">
      <c r="A51" s="36" t="inlineStr">
        <is>
          <t>balanced</t>
        </is>
      </c>
      <c r="B51" s="36" t="n">
        <v>6</v>
      </c>
      <c r="C51" s="36" t="n">
        <v>6</v>
      </c>
      <c r="D51" s="36" t="n">
        <v>6</v>
      </c>
      <c r="E51" s="36" t="n">
        <v>6</v>
      </c>
      <c r="F51" s="36" t="n">
        <v>6</v>
      </c>
      <c r="G51" s="36" t="n">
        <v>6</v>
      </c>
      <c r="H51" s="36" t="n">
        <v>6</v>
      </c>
      <c r="I51" s="36" t="n">
        <v>6</v>
      </c>
    </row>
    <row r="52">
      <c r="A52" s="36" t="inlineStr">
        <is>
          <t>untrained</t>
        </is>
      </c>
      <c r="B52" s="36" t="n">
        <v>4</v>
      </c>
      <c r="C52" s="36" t="n">
        <v>4</v>
      </c>
      <c r="D52" s="36" t="n">
        <v>4</v>
      </c>
      <c r="E52" s="36" t="n">
        <v>4</v>
      </c>
      <c r="F52" s="36" t="n">
        <v>4</v>
      </c>
      <c r="G52" s="36" t="n">
        <v>4</v>
      </c>
      <c r="H52" s="36" t="n">
        <v>5</v>
      </c>
      <c r="I52" s="36" t="n">
        <v>5</v>
      </c>
    </row>
  </sheetData>
  <mergeCells count="6">
    <mergeCell ref="A1:D1"/>
    <mergeCell ref="A8:D8"/>
    <mergeCell ref="A4:D4"/>
    <mergeCell ref="A26:D26"/>
    <mergeCell ref="A16:D16"/>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6" min="1" max="1"/>
    <col width="28" customWidth="1" style="36" min="2" max="2"/>
    <col width="36" customWidth="1" style="36" min="3" max="3"/>
    <col width="22" customWidth="1" style="36" min="4" max="4"/>
    <col width="14" customWidth="1" style="36" min="5" max="5"/>
    <col width="18" customWidth="1" style="36" min="6" max="6"/>
    <col hidden="1" width="13" customWidth="1" style="36" min="8" max="8"/>
  </cols>
  <sheetData>
    <row r="1" ht="27.75" customHeight="1" s="37">
      <c r="A1" s="51" t="inlineStr">
        <is>
          <t>Sports your body is built for</t>
        </is>
      </c>
    </row>
    <row r="2" ht="18" customHeight="1" s="37">
      <c r="A2" s="52" t="inlineStr">
        <is>
          <t>Ranked by physiological fit — your measurements vs elite-athlete profiles. May surface sports you've never considered.</t>
        </is>
      </c>
    </row>
    <row r="4" ht="31.5" customHeight="1" s="37">
      <c r="A4" s="53" t="inlineStr">
        <is>
          <t>#</t>
        </is>
      </c>
      <c r="B4" s="53" t="inlineStr">
        <is>
          <t>Sport</t>
        </is>
      </c>
      <c r="C4" s="53" t="inlineStr">
        <is>
          <t>Position / Discipline</t>
        </is>
      </c>
      <c r="D4" s="53" t="inlineStr">
        <is>
          <t>Category</t>
        </is>
      </c>
      <c r="E4" s="53" t="inlineStr">
        <is>
          <t>Built-for</t>
        </is>
      </c>
      <c r="F4" s="53" t="inlineStr">
        <is>
          <t>Enjoyment</t>
        </is>
      </c>
    </row>
    <row r="5" ht="25.5" customHeight="1" s="37">
      <c r="A5" s="54" t="n">
        <v>1</v>
      </c>
      <c r="B5" s="55">
        <f>INDEX(Scoring!$B:$B,MATCH($H$5,Scoring!$T$2:$T$112,0)+1)</f>
        <v/>
      </c>
      <c r="C5" s="55">
        <f>INDEX(Scoring!$C:$C,MATCH($H$5,Scoring!$T$2:$T$112,0)+1)</f>
        <v/>
      </c>
      <c r="D5" s="55">
        <f>INDEX(Scoring!$D:$D,MATCH($H$5,Scoring!$T$2:$T$112,0)+1)</f>
        <v/>
      </c>
      <c r="E5" s="56">
        <f>INDEX(Scoring!$J:$J,MATCH($H$5,Scoring!$T$2:$T$112,0)+1)</f>
        <v/>
      </c>
      <c r="F5" s="56">
        <f>INDEX(Scoring!$R:$R,MATCH($H$5,Scoring!$T$2:$T$112,0)+1)</f>
        <v/>
      </c>
      <c r="H5" s="36">
        <f>LARGE(Scoring!$T$2:$T$112,1)</f>
        <v/>
      </c>
    </row>
    <row r="6" ht="25.5" customHeight="1" s="37">
      <c r="A6" s="54" t="n">
        <v>2</v>
      </c>
      <c r="B6" s="55">
        <f>INDEX(Scoring!$B:$B,MATCH($H$6,Scoring!$T$2:$T$112,0)+1)</f>
        <v/>
      </c>
      <c r="C6" s="55">
        <f>INDEX(Scoring!$C:$C,MATCH($H$6,Scoring!$T$2:$T$112,0)+1)</f>
        <v/>
      </c>
      <c r="D6" s="55">
        <f>INDEX(Scoring!$D:$D,MATCH($H$6,Scoring!$T$2:$T$112,0)+1)</f>
        <v/>
      </c>
      <c r="E6" s="56">
        <f>INDEX(Scoring!$J:$J,MATCH($H$6,Scoring!$T$2:$T$112,0)+1)</f>
        <v/>
      </c>
      <c r="F6" s="56">
        <f>INDEX(Scoring!$R:$R,MATCH($H$6,Scoring!$T$2:$T$112,0)+1)</f>
        <v/>
      </c>
      <c r="H6" s="36">
        <f>LARGE(Scoring!$T$2:$T$112,2)</f>
        <v/>
      </c>
    </row>
    <row r="7" ht="25.5" customHeight="1" s="37">
      <c r="A7" s="54" t="n">
        <v>3</v>
      </c>
      <c r="B7" s="55">
        <f>INDEX(Scoring!$B:$B,MATCH($H$7,Scoring!$T$2:$T$112,0)+1)</f>
        <v/>
      </c>
      <c r="C7" s="55">
        <f>INDEX(Scoring!$C:$C,MATCH($H$7,Scoring!$T$2:$T$112,0)+1)</f>
        <v/>
      </c>
      <c r="D7" s="55">
        <f>INDEX(Scoring!$D:$D,MATCH($H$7,Scoring!$T$2:$T$112,0)+1)</f>
        <v/>
      </c>
      <c r="E7" s="56">
        <f>INDEX(Scoring!$J:$J,MATCH($H$7,Scoring!$T$2:$T$112,0)+1)</f>
        <v/>
      </c>
      <c r="F7" s="56">
        <f>INDEX(Scoring!$R:$R,MATCH($H$7,Scoring!$T$2:$T$112,0)+1)</f>
        <v/>
      </c>
      <c r="H7" s="36">
        <f>LARGE(Scoring!$T$2:$T$112,3)</f>
        <v/>
      </c>
    </row>
    <row r="8" ht="25.5" customHeight="1" s="37">
      <c r="A8" s="54" t="n">
        <v>4</v>
      </c>
      <c r="B8" s="55">
        <f>INDEX(Scoring!$B:$B,MATCH($H$8,Scoring!$T$2:$T$112,0)+1)</f>
        <v/>
      </c>
      <c r="C8" s="55">
        <f>INDEX(Scoring!$C:$C,MATCH($H$8,Scoring!$T$2:$T$112,0)+1)</f>
        <v/>
      </c>
      <c r="D8" s="55">
        <f>INDEX(Scoring!$D:$D,MATCH($H$8,Scoring!$T$2:$T$112,0)+1)</f>
        <v/>
      </c>
      <c r="E8" s="56">
        <f>INDEX(Scoring!$J:$J,MATCH($H$8,Scoring!$T$2:$T$112,0)+1)</f>
        <v/>
      </c>
      <c r="F8" s="56">
        <f>INDEX(Scoring!$R:$R,MATCH($H$8,Scoring!$T$2:$T$112,0)+1)</f>
        <v/>
      </c>
      <c r="H8" s="36">
        <f>LARGE(Scoring!$T$2:$T$112,4)</f>
        <v/>
      </c>
    </row>
    <row r="9" ht="25.5" customHeight="1" s="37">
      <c r="A9" s="54" t="n">
        <v>5</v>
      </c>
      <c r="B9" s="55">
        <f>INDEX(Scoring!$B:$B,MATCH($H$9,Scoring!$T$2:$T$112,0)+1)</f>
        <v/>
      </c>
      <c r="C9" s="55">
        <f>INDEX(Scoring!$C:$C,MATCH($H$9,Scoring!$T$2:$T$112,0)+1)</f>
        <v/>
      </c>
      <c r="D9" s="55">
        <f>INDEX(Scoring!$D:$D,MATCH($H$9,Scoring!$T$2:$T$112,0)+1)</f>
        <v/>
      </c>
      <c r="E9" s="56">
        <f>INDEX(Scoring!$J:$J,MATCH($H$9,Scoring!$T$2:$T$112,0)+1)</f>
        <v/>
      </c>
      <c r="F9" s="56">
        <f>INDEX(Scoring!$R:$R,MATCH($H$9,Scoring!$T$2:$T$112,0)+1)</f>
        <v/>
      </c>
      <c r="H9" s="36">
        <f>LARGE(Scoring!$T$2:$T$112,5)</f>
        <v/>
      </c>
    </row>
    <row r="10" ht="25.5" customHeight="1" s="37">
      <c r="A10" s="54" t="n">
        <v>6</v>
      </c>
      <c r="B10" s="55">
        <f>INDEX(Scoring!$B:$B,MATCH($H$10,Scoring!$T$2:$T$112,0)+1)</f>
        <v/>
      </c>
      <c r="C10" s="55">
        <f>INDEX(Scoring!$C:$C,MATCH($H$10,Scoring!$T$2:$T$112,0)+1)</f>
        <v/>
      </c>
      <c r="D10" s="55">
        <f>INDEX(Scoring!$D:$D,MATCH($H$10,Scoring!$T$2:$T$112,0)+1)</f>
        <v/>
      </c>
      <c r="E10" s="56">
        <f>INDEX(Scoring!$J:$J,MATCH($H$10,Scoring!$T$2:$T$112,0)+1)</f>
        <v/>
      </c>
      <c r="F10" s="56">
        <f>INDEX(Scoring!$R:$R,MATCH($H$10,Scoring!$T$2:$T$112,0)+1)</f>
        <v/>
      </c>
      <c r="H10" s="36">
        <f>LARGE(Scoring!$T$2:$T$112,6)</f>
        <v/>
      </c>
    </row>
    <row r="11" ht="25.5" customHeight="1" s="37">
      <c r="A11" s="54" t="n">
        <v>7</v>
      </c>
      <c r="B11" s="55">
        <f>INDEX(Scoring!$B:$B,MATCH($H$11,Scoring!$T$2:$T$112,0)+1)</f>
        <v/>
      </c>
      <c r="C11" s="55">
        <f>INDEX(Scoring!$C:$C,MATCH($H$11,Scoring!$T$2:$T$112,0)+1)</f>
        <v/>
      </c>
      <c r="D11" s="55">
        <f>INDEX(Scoring!$D:$D,MATCH($H$11,Scoring!$T$2:$T$112,0)+1)</f>
        <v/>
      </c>
      <c r="E11" s="56">
        <f>INDEX(Scoring!$J:$J,MATCH($H$11,Scoring!$T$2:$T$112,0)+1)</f>
        <v/>
      </c>
      <c r="F11" s="56">
        <f>INDEX(Scoring!$R:$R,MATCH($H$11,Scoring!$T$2:$T$112,0)+1)</f>
        <v/>
      </c>
      <c r="H11" s="36">
        <f>LARGE(Scoring!$T$2:$T$112,7)</f>
        <v/>
      </c>
    </row>
    <row r="12" ht="25.5" customHeight="1" s="37">
      <c r="A12" s="54" t="n">
        <v>8</v>
      </c>
      <c r="B12" s="55">
        <f>INDEX(Scoring!$B:$B,MATCH($H$12,Scoring!$T$2:$T$112,0)+1)</f>
        <v/>
      </c>
      <c r="C12" s="55">
        <f>INDEX(Scoring!$C:$C,MATCH($H$12,Scoring!$T$2:$T$112,0)+1)</f>
        <v/>
      </c>
      <c r="D12" s="55">
        <f>INDEX(Scoring!$D:$D,MATCH($H$12,Scoring!$T$2:$T$112,0)+1)</f>
        <v/>
      </c>
      <c r="E12" s="56">
        <f>INDEX(Scoring!$J:$J,MATCH($H$12,Scoring!$T$2:$T$112,0)+1)</f>
        <v/>
      </c>
      <c r="F12" s="56">
        <f>INDEX(Scoring!$R:$R,MATCH($H$12,Scoring!$T$2:$T$112,0)+1)</f>
        <v/>
      </c>
      <c r="H12" s="36">
        <f>LARGE(Scoring!$T$2:$T$112,8)</f>
        <v/>
      </c>
    </row>
    <row r="13" ht="25.5" customHeight="1" s="37">
      <c r="A13" s="54" t="n">
        <v>9</v>
      </c>
      <c r="B13" s="55">
        <f>INDEX(Scoring!$B:$B,MATCH($H$13,Scoring!$T$2:$T$112,0)+1)</f>
        <v/>
      </c>
      <c r="C13" s="55">
        <f>INDEX(Scoring!$C:$C,MATCH($H$13,Scoring!$T$2:$T$112,0)+1)</f>
        <v/>
      </c>
      <c r="D13" s="55">
        <f>INDEX(Scoring!$D:$D,MATCH($H$13,Scoring!$T$2:$T$112,0)+1)</f>
        <v/>
      </c>
      <c r="E13" s="56">
        <f>INDEX(Scoring!$J:$J,MATCH($H$13,Scoring!$T$2:$T$112,0)+1)</f>
        <v/>
      </c>
      <c r="F13" s="56">
        <f>INDEX(Scoring!$R:$R,MATCH($H$13,Scoring!$T$2:$T$112,0)+1)</f>
        <v/>
      </c>
      <c r="H13" s="36">
        <f>LARGE(Scoring!$T$2:$T$112,9)</f>
        <v/>
      </c>
    </row>
    <row r="14" ht="25.5" customHeight="1" s="37">
      <c r="A14" s="54" t="n">
        <v>10</v>
      </c>
      <c r="B14" s="55">
        <f>INDEX(Scoring!$B:$B,MATCH($H$14,Scoring!$T$2:$T$112,0)+1)</f>
        <v/>
      </c>
      <c r="C14" s="55">
        <f>INDEX(Scoring!$C:$C,MATCH($H$14,Scoring!$T$2:$T$112,0)+1)</f>
        <v/>
      </c>
      <c r="D14" s="55">
        <f>INDEX(Scoring!$D:$D,MATCH($H$14,Scoring!$T$2:$T$112,0)+1)</f>
        <v/>
      </c>
      <c r="E14" s="56">
        <f>INDEX(Scoring!$J:$J,MATCH($H$14,Scoring!$T$2:$T$112,0)+1)</f>
        <v/>
      </c>
      <c r="F14" s="56">
        <f>INDEX(Scoring!$R:$R,MATCH($H$14,Scoring!$T$2:$T$112,0)+1)</f>
        <v/>
      </c>
      <c r="H14" s="36">
        <f>LARGE(Scoring!$T$2:$T$112,10)</f>
        <v/>
      </c>
    </row>
    <row r="15" ht="25.5" customHeight="1" s="37">
      <c r="A15" s="54" t="n">
        <v>11</v>
      </c>
      <c r="B15" s="55">
        <f>INDEX(Scoring!$B:$B,MATCH($H$15,Scoring!$T$2:$T$112,0)+1)</f>
        <v/>
      </c>
      <c r="C15" s="55">
        <f>INDEX(Scoring!$C:$C,MATCH($H$15,Scoring!$T$2:$T$112,0)+1)</f>
        <v/>
      </c>
      <c r="D15" s="55">
        <f>INDEX(Scoring!$D:$D,MATCH($H$15,Scoring!$T$2:$T$112,0)+1)</f>
        <v/>
      </c>
      <c r="E15" s="56">
        <f>INDEX(Scoring!$J:$J,MATCH($H$15,Scoring!$T$2:$T$112,0)+1)</f>
        <v/>
      </c>
      <c r="F15" s="56">
        <f>INDEX(Scoring!$R:$R,MATCH($H$15,Scoring!$T$2:$T$112,0)+1)</f>
        <v/>
      </c>
      <c r="H15" s="36">
        <f>LARGE(Scoring!$T$2:$T$112,11)</f>
        <v/>
      </c>
    </row>
    <row r="16" ht="25.5" customHeight="1" s="37">
      <c r="A16" s="54" t="n">
        <v>12</v>
      </c>
      <c r="B16" s="55">
        <f>INDEX(Scoring!$B:$B,MATCH($H$16,Scoring!$T$2:$T$112,0)+1)</f>
        <v/>
      </c>
      <c r="C16" s="55">
        <f>INDEX(Scoring!$C:$C,MATCH($H$16,Scoring!$T$2:$T$112,0)+1)</f>
        <v/>
      </c>
      <c r="D16" s="55">
        <f>INDEX(Scoring!$D:$D,MATCH($H$16,Scoring!$T$2:$T$112,0)+1)</f>
        <v/>
      </c>
      <c r="E16" s="56">
        <f>INDEX(Scoring!$J:$J,MATCH($H$16,Scoring!$T$2:$T$112,0)+1)</f>
        <v/>
      </c>
      <c r="F16" s="56">
        <f>INDEX(Scoring!$R:$R,MATCH($H$16,Scoring!$T$2:$T$112,0)+1)</f>
        <v/>
      </c>
      <c r="H16" s="36">
        <f>LARGE(Scoring!$T$2:$T$112,12)</f>
        <v/>
      </c>
    </row>
    <row r="17" ht="25.5" customHeight="1" s="37">
      <c r="A17" s="54" t="n">
        <v>13</v>
      </c>
      <c r="B17" s="55">
        <f>INDEX(Scoring!$B:$B,MATCH($H$17,Scoring!$T$2:$T$112,0)+1)</f>
        <v/>
      </c>
      <c r="C17" s="55">
        <f>INDEX(Scoring!$C:$C,MATCH($H$17,Scoring!$T$2:$T$112,0)+1)</f>
        <v/>
      </c>
      <c r="D17" s="55">
        <f>INDEX(Scoring!$D:$D,MATCH($H$17,Scoring!$T$2:$T$112,0)+1)</f>
        <v/>
      </c>
      <c r="E17" s="56">
        <f>INDEX(Scoring!$J:$J,MATCH($H$17,Scoring!$T$2:$T$112,0)+1)</f>
        <v/>
      </c>
      <c r="F17" s="56">
        <f>INDEX(Scoring!$R:$R,MATCH($H$17,Scoring!$T$2:$T$112,0)+1)</f>
        <v/>
      </c>
      <c r="H17" s="36">
        <f>LARGE(Scoring!$T$2:$T$112,13)</f>
        <v/>
      </c>
    </row>
    <row r="18" ht="25.5" customHeight="1" s="37">
      <c r="A18" s="54" t="n">
        <v>14</v>
      </c>
      <c r="B18" s="55">
        <f>INDEX(Scoring!$B:$B,MATCH($H$18,Scoring!$T$2:$T$112,0)+1)</f>
        <v/>
      </c>
      <c r="C18" s="55">
        <f>INDEX(Scoring!$C:$C,MATCH($H$18,Scoring!$T$2:$T$112,0)+1)</f>
        <v/>
      </c>
      <c r="D18" s="55">
        <f>INDEX(Scoring!$D:$D,MATCH($H$18,Scoring!$T$2:$T$112,0)+1)</f>
        <v/>
      </c>
      <c r="E18" s="56">
        <f>INDEX(Scoring!$J:$J,MATCH($H$18,Scoring!$T$2:$T$112,0)+1)</f>
        <v/>
      </c>
      <c r="F18" s="56">
        <f>INDEX(Scoring!$R:$R,MATCH($H$18,Scoring!$T$2:$T$112,0)+1)</f>
        <v/>
      </c>
      <c r="H18" s="36">
        <f>LARGE(Scoring!$T$2:$T$112,14)</f>
        <v/>
      </c>
    </row>
    <row r="19" ht="25.5" customHeight="1" s="37">
      <c r="A19" s="54" t="n">
        <v>15</v>
      </c>
      <c r="B19" s="55">
        <f>INDEX(Scoring!$B:$B,MATCH($H$19,Scoring!$T$2:$T$112,0)+1)</f>
        <v/>
      </c>
      <c r="C19" s="55">
        <f>INDEX(Scoring!$C:$C,MATCH($H$19,Scoring!$T$2:$T$112,0)+1)</f>
        <v/>
      </c>
      <c r="D19" s="55">
        <f>INDEX(Scoring!$D:$D,MATCH($H$19,Scoring!$T$2:$T$112,0)+1)</f>
        <v/>
      </c>
      <c r="E19" s="56">
        <f>INDEX(Scoring!$J:$J,MATCH($H$19,Scoring!$T$2:$T$112,0)+1)</f>
        <v/>
      </c>
      <c r="F19" s="56">
        <f>INDEX(Scoring!$R:$R,MATCH($H$19,Scoring!$T$2:$T$112,0)+1)</f>
        <v/>
      </c>
      <c r="H19" s="36">
        <f>LARGE(Scoring!$T$2:$T$112,15)</f>
        <v/>
      </c>
    </row>
    <row r="21" ht="15" customHeight="1" s="37">
      <c r="A21" s="52" t="inlineStr">
        <is>
          <t>↑ Live — these rankings recalculate when you edit the User Input sheet.</t>
        </is>
      </c>
    </row>
  </sheetData>
  <mergeCells count="3">
    <mergeCell ref="A2:F2"/>
    <mergeCell ref="A21:F21"/>
    <mergeCell ref="A1:F1"/>
  </mergeCells>
  <conditionalFormatting sqref="E5:E19">
    <cfRule type="colorScale" priority="2">
      <colorScale>
        <cfvo type="num" val="0"/>
        <cfvo type="num" val="50"/>
        <cfvo type="num" val="10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6" min="1" max="1"/>
    <col width="28" customWidth="1" style="36" min="2" max="2"/>
    <col width="36" customWidth="1" style="36" min="3" max="3"/>
    <col width="22" customWidth="1" style="36" min="4" max="4"/>
    <col width="14" customWidth="1" style="36" min="5" max="5"/>
    <col width="18" customWidth="1" style="36" min="6" max="6"/>
    <col hidden="1" width="13" customWidth="1" style="36" min="8" max="8"/>
  </cols>
  <sheetData>
    <row r="1" ht="27.75" customHeight="1" s="37">
      <c r="A1" s="51" t="inlineStr">
        <is>
          <t>Sports you'd probably enjoy most</t>
        </is>
      </c>
    </row>
    <row r="2" ht="18" customHeight="1" s="37">
      <c r="A2" s="52" t="inlineStr">
        <is>
          <t>Ranked by preference fit — your stated likes vs sport characteristics. Reflects what you've told us you want.</t>
        </is>
      </c>
    </row>
    <row r="4" ht="31.5" customHeight="1" s="37">
      <c r="A4" s="57" t="inlineStr">
        <is>
          <t>#</t>
        </is>
      </c>
      <c r="B4" s="57" t="inlineStr">
        <is>
          <t>Sport</t>
        </is>
      </c>
      <c r="C4" s="57" t="inlineStr">
        <is>
          <t>Position / Discipline</t>
        </is>
      </c>
      <c r="D4" s="57" t="inlineStr">
        <is>
          <t>Category</t>
        </is>
      </c>
      <c r="E4" s="57" t="inlineStr">
        <is>
          <t>Enjoyment</t>
        </is>
      </c>
      <c r="F4" s="57" t="inlineStr">
        <is>
          <t>Built-for</t>
        </is>
      </c>
    </row>
    <row r="5" ht="25.5" customHeight="1" s="37">
      <c r="A5" s="54" t="n">
        <v>1</v>
      </c>
      <c r="B5" s="55">
        <f>INDEX(Scoring!$B:$B,MATCH($H$5,Scoring!$U$2:$U$112,0)+1)</f>
        <v/>
      </c>
      <c r="C5" s="55">
        <f>INDEX(Scoring!$C:$C,MATCH($H$5,Scoring!$U$2:$U$112,0)+1)</f>
        <v/>
      </c>
      <c r="D5" s="55">
        <f>INDEX(Scoring!$D:$D,MATCH($H$5,Scoring!$U$2:$U$112,0)+1)</f>
        <v/>
      </c>
      <c r="E5" s="56">
        <f>INDEX(Scoring!$R:$R,MATCH($H$5,Scoring!$U$2:$U$112,0)+1)</f>
        <v/>
      </c>
      <c r="F5" s="56">
        <f>INDEX(Scoring!$J:$J,MATCH($H$5,Scoring!$U$2:$U$112,0)+1)</f>
        <v/>
      </c>
      <c r="H5" s="36">
        <f>LARGE(Scoring!$U$2:$U$112,1)</f>
        <v/>
      </c>
    </row>
    <row r="6" ht="25.5" customHeight="1" s="37">
      <c r="A6" s="54" t="n">
        <v>2</v>
      </c>
      <c r="B6" s="55">
        <f>INDEX(Scoring!$B:$B,MATCH($H$6,Scoring!$U$2:$U$112,0)+1)</f>
        <v/>
      </c>
      <c r="C6" s="55">
        <f>INDEX(Scoring!$C:$C,MATCH($H$6,Scoring!$U$2:$U$112,0)+1)</f>
        <v/>
      </c>
      <c r="D6" s="55">
        <f>INDEX(Scoring!$D:$D,MATCH($H$6,Scoring!$U$2:$U$112,0)+1)</f>
        <v/>
      </c>
      <c r="E6" s="56">
        <f>INDEX(Scoring!$R:$R,MATCH($H$6,Scoring!$U$2:$U$112,0)+1)</f>
        <v/>
      </c>
      <c r="F6" s="56">
        <f>INDEX(Scoring!$J:$J,MATCH($H$6,Scoring!$U$2:$U$112,0)+1)</f>
        <v/>
      </c>
      <c r="H6" s="36">
        <f>LARGE(Scoring!$U$2:$U$112,2)</f>
        <v/>
      </c>
    </row>
    <row r="7" ht="25.5" customHeight="1" s="37">
      <c r="A7" s="54" t="n">
        <v>3</v>
      </c>
      <c r="B7" s="55">
        <f>INDEX(Scoring!$B:$B,MATCH($H$7,Scoring!$U$2:$U$112,0)+1)</f>
        <v/>
      </c>
      <c r="C7" s="55">
        <f>INDEX(Scoring!$C:$C,MATCH($H$7,Scoring!$U$2:$U$112,0)+1)</f>
        <v/>
      </c>
      <c r="D7" s="55">
        <f>INDEX(Scoring!$D:$D,MATCH($H$7,Scoring!$U$2:$U$112,0)+1)</f>
        <v/>
      </c>
      <c r="E7" s="56">
        <f>INDEX(Scoring!$R:$R,MATCH($H$7,Scoring!$U$2:$U$112,0)+1)</f>
        <v/>
      </c>
      <c r="F7" s="56">
        <f>INDEX(Scoring!$J:$J,MATCH($H$7,Scoring!$U$2:$U$112,0)+1)</f>
        <v/>
      </c>
      <c r="H7" s="36">
        <f>LARGE(Scoring!$U$2:$U$112,3)</f>
        <v/>
      </c>
    </row>
    <row r="8" ht="25.5" customHeight="1" s="37">
      <c r="A8" s="54" t="n">
        <v>4</v>
      </c>
      <c r="B8" s="55">
        <f>INDEX(Scoring!$B:$B,MATCH($H$8,Scoring!$U$2:$U$112,0)+1)</f>
        <v/>
      </c>
      <c r="C8" s="55">
        <f>INDEX(Scoring!$C:$C,MATCH($H$8,Scoring!$U$2:$U$112,0)+1)</f>
        <v/>
      </c>
      <c r="D8" s="55">
        <f>INDEX(Scoring!$D:$D,MATCH($H$8,Scoring!$U$2:$U$112,0)+1)</f>
        <v/>
      </c>
      <c r="E8" s="56">
        <f>INDEX(Scoring!$R:$R,MATCH($H$8,Scoring!$U$2:$U$112,0)+1)</f>
        <v/>
      </c>
      <c r="F8" s="56">
        <f>INDEX(Scoring!$J:$J,MATCH($H$8,Scoring!$U$2:$U$112,0)+1)</f>
        <v/>
      </c>
      <c r="H8" s="36">
        <f>LARGE(Scoring!$U$2:$U$112,4)</f>
        <v/>
      </c>
    </row>
    <row r="9" ht="25.5" customHeight="1" s="37">
      <c r="A9" s="54" t="n">
        <v>5</v>
      </c>
      <c r="B9" s="55">
        <f>INDEX(Scoring!$B:$B,MATCH($H$9,Scoring!$U$2:$U$112,0)+1)</f>
        <v/>
      </c>
      <c r="C9" s="55">
        <f>INDEX(Scoring!$C:$C,MATCH($H$9,Scoring!$U$2:$U$112,0)+1)</f>
        <v/>
      </c>
      <c r="D9" s="55">
        <f>INDEX(Scoring!$D:$D,MATCH($H$9,Scoring!$U$2:$U$112,0)+1)</f>
        <v/>
      </c>
      <c r="E9" s="56">
        <f>INDEX(Scoring!$R:$R,MATCH($H$9,Scoring!$U$2:$U$112,0)+1)</f>
        <v/>
      </c>
      <c r="F9" s="56">
        <f>INDEX(Scoring!$J:$J,MATCH($H$9,Scoring!$U$2:$U$112,0)+1)</f>
        <v/>
      </c>
      <c r="H9" s="36">
        <f>LARGE(Scoring!$U$2:$U$112,5)</f>
        <v/>
      </c>
    </row>
    <row r="10" ht="25.5" customHeight="1" s="37">
      <c r="A10" s="54" t="n">
        <v>6</v>
      </c>
      <c r="B10" s="55">
        <f>INDEX(Scoring!$B:$B,MATCH($H$10,Scoring!$U$2:$U$112,0)+1)</f>
        <v/>
      </c>
      <c r="C10" s="55">
        <f>INDEX(Scoring!$C:$C,MATCH($H$10,Scoring!$U$2:$U$112,0)+1)</f>
        <v/>
      </c>
      <c r="D10" s="55">
        <f>INDEX(Scoring!$D:$D,MATCH($H$10,Scoring!$U$2:$U$112,0)+1)</f>
        <v/>
      </c>
      <c r="E10" s="56">
        <f>INDEX(Scoring!$R:$R,MATCH($H$10,Scoring!$U$2:$U$112,0)+1)</f>
        <v/>
      </c>
      <c r="F10" s="56">
        <f>INDEX(Scoring!$J:$J,MATCH($H$10,Scoring!$U$2:$U$112,0)+1)</f>
        <v/>
      </c>
      <c r="H10" s="36">
        <f>LARGE(Scoring!$U$2:$U$112,6)</f>
        <v/>
      </c>
    </row>
    <row r="11" ht="25.5" customHeight="1" s="37">
      <c r="A11" s="54" t="n">
        <v>7</v>
      </c>
      <c r="B11" s="55">
        <f>INDEX(Scoring!$B:$B,MATCH($H$11,Scoring!$U$2:$U$112,0)+1)</f>
        <v/>
      </c>
      <c r="C11" s="55">
        <f>INDEX(Scoring!$C:$C,MATCH($H$11,Scoring!$U$2:$U$112,0)+1)</f>
        <v/>
      </c>
      <c r="D11" s="55">
        <f>INDEX(Scoring!$D:$D,MATCH($H$11,Scoring!$U$2:$U$112,0)+1)</f>
        <v/>
      </c>
      <c r="E11" s="56">
        <f>INDEX(Scoring!$R:$R,MATCH($H$11,Scoring!$U$2:$U$112,0)+1)</f>
        <v/>
      </c>
      <c r="F11" s="56">
        <f>INDEX(Scoring!$J:$J,MATCH($H$11,Scoring!$U$2:$U$112,0)+1)</f>
        <v/>
      </c>
      <c r="H11" s="36">
        <f>LARGE(Scoring!$U$2:$U$112,7)</f>
        <v/>
      </c>
    </row>
    <row r="12" ht="25.5" customHeight="1" s="37">
      <c r="A12" s="54" t="n">
        <v>8</v>
      </c>
      <c r="B12" s="55">
        <f>INDEX(Scoring!$B:$B,MATCH($H$12,Scoring!$U$2:$U$112,0)+1)</f>
        <v/>
      </c>
      <c r="C12" s="55">
        <f>INDEX(Scoring!$C:$C,MATCH($H$12,Scoring!$U$2:$U$112,0)+1)</f>
        <v/>
      </c>
      <c r="D12" s="55">
        <f>INDEX(Scoring!$D:$D,MATCH($H$12,Scoring!$U$2:$U$112,0)+1)</f>
        <v/>
      </c>
      <c r="E12" s="56">
        <f>INDEX(Scoring!$R:$R,MATCH($H$12,Scoring!$U$2:$U$112,0)+1)</f>
        <v/>
      </c>
      <c r="F12" s="56">
        <f>INDEX(Scoring!$J:$J,MATCH($H$12,Scoring!$U$2:$U$112,0)+1)</f>
        <v/>
      </c>
      <c r="H12" s="36">
        <f>LARGE(Scoring!$U$2:$U$112,8)</f>
        <v/>
      </c>
    </row>
    <row r="13" ht="25.5" customHeight="1" s="37">
      <c r="A13" s="54" t="n">
        <v>9</v>
      </c>
      <c r="B13" s="55">
        <f>INDEX(Scoring!$B:$B,MATCH($H$13,Scoring!$U$2:$U$112,0)+1)</f>
        <v/>
      </c>
      <c r="C13" s="55">
        <f>INDEX(Scoring!$C:$C,MATCH($H$13,Scoring!$U$2:$U$112,0)+1)</f>
        <v/>
      </c>
      <c r="D13" s="55">
        <f>INDEX(Scoring!$D:$D,MATCH($H$13,Scoring!$U$2:$U$112,0)+1)</f>
        <v/>
      </c>
      <c r="E13" s="56">
        <f>INDEX(Scoring!$R:$R,MATCH($H$13,Scoring!$U$2:$U$112,0)+1)</f>
        <v/>
      </c>
      <c r="F13" s="56">
        <f>INDEX(Scoring!$J:$J,MATCH($H$13,Scoring!$U$2:$U$112,0)+1)</f>
        <v/>
      </c>
      <c r="H13" s="36">
        <f>LARGE(Scoring!$U$2:$U$112,9)</f>
        <v/>
      </c>
    </row>
    <row r="14" ht="25.5" customHeight="1" s="37">
      <c r="A14" s="54" t="n">
        <v>10</v>
      </c>
      <c r="B14" s="55">
        <f>INDEX(Scoring!$B:$B,MATCH($H$14,Scoring!$U$2:$U$112,0)+1)</f>
        <v/>
      </c>
      <c r="C14" s="55">
        <f>INDEX(Scoring!$C:$C,MATCH($H$14,Scoring!$U$2:$U$112,0)+1)</f>
        <v/>
      </c>
      <c r="D14" s="55">
        <f>INDEX(Scoring!$D:$D,MATCH($H$14,Scoring!$U$2:$U$112,0)+1)</f>
        <v/>
      </c>
      <c r="E14" s="56">
        <f>INDEX(Scoring!$R:$R,MATCH($H$14,Scoring!$U$2:$U$112,0)+1)</f>
        <v/>
      </c>
      <c r="F14" s="56">
        <f>INDEX(Scoring!$J:$J,MATCH($H$14,Scoring!$U$2:$U$112,0)+1)</f>
        <v/>
      </c>
      <c r="H14" s="36">
        <f>LARGE(Scoring!$U$2:$U$112,10)</f>
        <v/>
      </c>
    </row>
    <row r="15" ht="25.5" customHeight="1" s="37">
      <c r="A15" s="54" t="n">
        <v>11</v>
      </c>
      <c r="B15" s="55">
        <f>INDEX(Scoring!$B:$B,MATCH($H$15,Scoring!$U$2:$U$112,0)+1)</f>
        <v/>
      </c>
      <c r="C15" s="55">
        <f>INDEX(Scoring!$C:$C,MATCH($H$15,Scoring!$U$2:$U$112,0)+1)</f>
        <v/>
      </c>
      <c r="D15" s="55">
        <f>INDEX(Scoring!$D:$D,MATCH($H$15,Scoring!$U$2:$U$112,0)+1)</f>
        <v/>
      </c>
      <c r="E15" s="56">
        <f>INDEX(Scoring!$R:$R,MATCH($H$15,Scoring!$U$2:$U$112,0)+1)</f>
        <v/>
      </c>
      <c r="F15" s="56">
        <f>INDEX(Scoring!$J:$J,MATCH($H$15,Scoring!$U$2:$U$112,0)+1)</f>
        <v/>
      </c>
      <c r="H15" s="36">
        <f>LARGE(Scoring!$U$2:$U$112,11)</f>
        <v/>
      </c>
    </row>
    <row r="16" ht="25.5" customHeight="1" s="37">
      <c r="A16" s="54" t="n">
        <v>12</v>
      </c>
      <c r="B16" s="55">
        <f>INDEX(Scoring!$B:$B,MATCH($H$16,Scoring!$U$2:$U$112,0)+1)</f>
        <v/>
      </c>
      <c r="C16" s="55">
        <f>INDEX(Scoring!$C:$C,MATCH($H$16,Scoring!$U$2:$U$112,0)+1)</f>
        <v/>
      </c>
      <c r="D16" s="55">
        <f>INDEX(Scoring!$D:$D,MATCH($H$16,Scoring!$U$2:$U$112,0)+1)</f>
        <v/>
      </c>
      <c r="E16" s="56">
        <f>INDEX(Scoring!$R:$R,MATCH($H$16,Scoring!$U$2:$U$112,0)+1)</f>
        <v/>
      </c>
      <c r="F16" s="56">
        <f>INDEX(Scoring!$J:$J,MATCH($H$16,Scoring!$U$2:$U$112,0)+1)</f>
        <v/>
      </c>
      <c r="H16" s="36">
        <f>LARGE(Scoring!$U$2:$U$112,12)</f>
        <v/>
      </c>
    </row>
    <row r="17" ht="25.5" customHeight="1" s="37">
      <c r="A17" s="54" t="n">
        <v>13</v>
      </c>
      <c r="B17" s="55">
        <f>INDEX(Scoring!$B:$B,MATCH($H$17,Scoring!$U$2:$U$112,0)+1)</f>
        <v/>
      </c>
      <c r="C17" s="55">
        <f>INDEX(Scoring!$C:$C,MATCH($H$17,Scoring!$U$2:$U$112,0)+1)</f>
        <v/>
      </c>
      <c r="D17" s="55">
        <f>INDEX(Scoring!$D:$D,MATCH($H$17,Scoring!$U$2:$U$112,0)+1)</f>
        <v/>
      </c>
      <c r="E17" s="56">
        <f>INDEX(Scoring!$R:$R,MATCH($H$17,Scoring!$U$2:$U$112,0)+1)</f>
        <v/>
      </c>
      <c r="F17" s="56">
        <f>INDEX(Scoring!$J:$J,MATCH($H$17,Scoring!$U$2:$U$112,0)+1)</f>
        <v/>
      </c>
      <c r="H17" s="36">
        <f>LARGE(Scoring!$U$2:$U$112,13)</f>
        <v/>
      </c>
    </row>
    <row r="18" ht="25.5" customHeight="1" s="37">
      <c r="A18" s="54" t="n">
        <v>14</v>
      </c>
      <c r="B18" s="55">
        <f>INDEX(Scoring!$B:$B,MATCH($H$18,Scoring!$U$2:$U$112,0)+1)</f>
        <v/>
      </c>
      <c r="C18" s="55">
        <f>INDEX(Scoring!$C:$C,MATCH($H$18,Scoring!$U$2:$U$112,0)+1)</f>
        <v/>
      </c>
      <c r="D18" s="55">
        <f>INDEX(Scoring!$D:$D,MATCH($H$18,Scoring!$U$2:$U$112,0)+1)</f>
        <v/>
      </c>
      <c r="E18" s="56">
        <f>INDEX(Scoring!$R:$R,MATCH($H$18,Scoring!$U$2:$U$112,0)+1)</f>
        <v/>
      </c>
      <c r="F18" s="56">
        <f>INDEX(Scoring!$J:$J,MATCH($H$18,Scoring!$U$2:$U$112,0)+1)</f>
        <v/>
      </c>
      <c r="H18" s="36">
        <f>LARGE(Scoring!$U$2:$U$112,14)</f>
        <v/>
      </c>
    </row>
    <row r="19" ht="25.5" customHeight="1" s="37">
      <c r="A19" s="54" t="n">
        <v>15</v>
      </c>
      <c r="B19" s="55">
        <f>INDEX(Scoring!$B:$B,MATCH($H$19,Scoring!$U$2:$U$112,0)+1)</f>
        <v/>
      </c>
      <c r="C19" s="55">
        <f>INDEX(Scoring!$C:$C,MATCH($H$19,Scoring!$U$2:$U$112,0)+1)</f>
        <v/>
      </c>
      <c r="D19" s="55">
        <f>INDEX(Scoring!$D:$D,MATCH($H$19,Scoring!$U$2:$U$112,0)+1)</f>
        <v/>
      </c>
      <c r="E19" s="56">
        <f>INDEX(Scoring!$R:$R,MATCH($H$19,Scoring!$U$2:$U$112,0)+1)</f>
        <v/>
      </c>
      <c r="F19" s="56">
        <f>INDEX(Scoring!$J:$J,MATCH($H$19,Scoring!$U$2:$U$112,0)+1)</f>
        <v/>
      </c>
      <c r="H19" s="36">
        <f>LARGE(Scoring!$U$2:$U$112,15)</f>
        <v/>
      </c>
    </row>
    <row r="21" ht="15" customHeight="1" s="37">
      <c r="A21" s="52" t="inlineStr">
        <is>
          <t>↑ Live — these rankings recalculate when you edit the User Input sheet.</t>
        </is>
      </c>
    </row>
  </sheetData>
  <mergeCells count="3">
    <mergeCell ref="A2:F2"/>
    <mergeCell ref="A21:F21"/>
    <mergeCell ref="A1:F1"/>
  </mergeCells>
  <conditionalFormatting sqref="E5:E19">
    <cfRule type="colorScale" priority="2">
      <colorScale>
        <cfvo type="num" val="0"/>
        <cfvo type="num" val="50"/>
        <cfvo type="num" val="10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6" min="1" max="1"/>
    <col width="28" customWidth="1" style="36" min="2" max="2"/>
    <col width="36" customWidth="1" style="36" min="3" max="3"/>
    <col width="22" customWidth="1" style="36" min="4" max="4"/>
    <col width="14" customWidth="1" style="36" min="5" max="5"/>
    <col width="18" customWidth="1" style="36" min="6" max="6"/>
    <col hidden="1" width="13" customWidth="1" style="36" min="8" max="8"/>
  </cols>
  <sheetData>
    <row r="1" ht="27.75" customHeight="1" s="37">
      <c r="A1" s="51" t="inlineStr">
        <is>
          <t>Best overall matches — the real recommendation</t>
        </is>
      </c>
    </row>
    <row r="2" ht="18" customHeight="1" s="37">
      <c r="A2" s="52" t="inlineStr">
        <is>
          <t>Ranked by combined score (50% built-for + 50% enjoyment). Sports here are where your body and your preferences agree.</t>
        </is>
      </c>
    </row>
    <row r="4" ht="31.5" customHeight="1" s="37">
      <c r="A4" s="58" t="inlineStr">
        <is>
          <t>#</t>
        </is>
      </c>
      <c r="B4" s="58" t="inlineStr">
        <is>
          <t>Sport</t>
        </is>
      </c>
      <c r="C4" s="58" t="inlineStr">
        <is>
          <t>Position / Discipline</t>
        </is>
      </c>
      <c r="D4" s="58" t="inlineStr">
        <is>
          <t>Category</t>
        </is>
      </c>
      <c r="E4" s="58" t="inlineStr">
        <is>
          <t>TOTAL</t>
        </is>
      </c>
      <c r="F4" s="58" t="inlineStr">
        <is>
          <t>Built / Enjoy</t>
        </is>
      </c>
    </row>
    <row r="5" ht="25.5" customHeight="1" s="37">
      <c r="A5" s="54" t="n">
        <v>1</v>
      </c>
      <c r="B5" s="55">
        <f>INDEX(Scoring!$B:$B,MATCH($H$5,Scoring!$V$2:$V$112,0)+1)</f>
        <v/>
      </c>
      <c r="C5" s="55">
        <f>INDEX(Scoring!$C:$C,MATCH($H$5,Scoring!$V$2:$V$112,0)+1)</f>
        <v/>
      </c>
      <c r="D5" s="55">
        <f>INDEX(Scoring!$D:$D,MATCH($H$5,Scoring!$V$2:$V$112,0)+1)</f>
        <v/>
      </c>
      <c r="E5" s="56">
        <f>INDEX(Scoring!$S:$S,MATCH($H$5,Scoring!$V$2:$V$112,0)+1)</f>
        <v/>
      </c>
      <c r="F5" s="55">
        <f>INDEX(Scoring!$J:$J,MATCH($H$5,Scoring!$V$2:$V$112,0)+1)&amp;" / "&amp;INDEX(Scoring!$R:$R,MATCH($H$5,Scoring!$V$2:$V$112,0)+1)</f>
        <v/>
      </c>
      <c r="H5" s="36">
        <f>LARGE(Scoring!$V$2:$V$112,1)</f>
        <v/>
      </c>
    </row>
    <row r="6" ht="25.5" customHeight="1" s="37">
      <c r="A6" s="54" t="n">
        <v>2</v>
      </c>
      <c r="B6" s="55">
        <f>INDEX(Scoring!$B:$B,MATCH($H$6,Scoring!$V$2:$V$112,0)+1)</f>
        <v/>
      </c>
      <c r="C6" s="55">
        <f>INDEX(Scoring!$C:$C,MATCH($H$6,Scoring!$V$2:$V$112,0)+1)</f>
        <v/>
      </c>
      <c r="D6" s="55">
        <f>INDEX(Scoring!$D:$D,MATCH($H$6,Scoring!$V$2:$V$112,0)+1)</f>
        <v/>
      </c>
      <c r="E6" s="56">
        <f>INDEX(Scoring!$S:$S,MATCH($H$6,Scoring!$V$2:$V$112,0)+1)</f>
        <v/>
      </c>
      <c r="F6" s="55">
        <f>INDEX(Scoring!$J:$J,MATCH($H$6,Scoring!$V$2:$V$112,0)+1)&amp;" / "&amp;INDEX(Scoring!$R:$R,MATCH($H$6,Scoring!$V$2:$V$112,0)+1)</f>
        <v/>
      </c>
      <c r="H6" s="36">
        <f>LARGE(Scoring!$V$2:$V$112,2)</f>
        <v/>
      </c>
    </row>
    <row r="7" ht="25.5" customHeight="1" s="37">
      <c r="A7" s="54" t="n">
        <v>3</v>
      </c>
      <c r="B7" s="55">
        <f>INDEX(Scoring!$B:$B,MATCH($H$7,Scoring!$V$2:$V$112,0)+1)</f>
        <v/>
      </c>
      <c r="C7" s="55">
        <f>INDEX(Scoring!$C:$C,MATCH($H$7,Scoring!$V$2:$V$112,0)+1)</f>
        <v/>
      </c>
      <c r="D7" s="55">
        <f>INDEX(Scoring!$D:$D,MATCH($H$7,Scoring!$V$2:$V$112,0)+1)</f>
        <v/>
      </c>
      <c r="E7" s="56">
        <f>INDEX(Scoring!$S:$S,MATCH($H$7,Scoring!$V$2:$V$112,0)+1)</f>
        <v/>
      </c>
      <c r="F7" s="55">
        <f>INDEX(Scoring!$J:$J,MATCH($H$7,Scoring!$V$2:$V$112,0)+1)&amp;" / "&amp;INDEX(Scoring!$R:$R,MATCH($H$7,Scoring!$V$2:$V$112,0)+1)</f>
        <v/>
      </c>
      <c r="H7" s="36">
        <f>LARGE(Scoring!$V$2:$V$112,3)</f>
        <v/>
      </c>
    </row>
    <row r="8" ht="25.5" customHeight="1" s="37">
      <c r="A8" s="54" t="n">
        <v>4</v>
      </c>
      <c r="B8" s="55">
        <f>INDEX(Scoring!$B:$B,MATCH($H$8,Scoring!$V$2:$V$112,0)+1)</f>
        <v/>
      </c>
      <c r="C8" s="55">
        <f>INDEX(Scoring!$C:$C,MATCH($H$8,Scoring!$V$2:$V$112,0)+1)</f>
        <v/>
      </c>
      <c r="D8" s="55">
        <f>INDEX(Scoring!$D:$D,MATCH($H$8,Scoring!$V$2:$V$112,0)+1)</f>
        <v/>
      </c>
      <c r="E8" s="56">
        <f>INDEX(Scoring!$S:$S,MATCH($H$8,Scoring!$V$2:$V$112,0)+1)</f>
        <v/>
      </c>
      <c r="F8" s="55">
        <f>INDEX(Scoring!$J:$J,MATCH($H$8,Scoring!$V$2:$V$112,0)+1)&amp;" / "&amp;INDEX(Scoring!$R:$R,MATCH($H$8,Scoring!$V$2:$V$112,0)+1)</f>
        <v/>
      </c>
      <c r="H8" s="36">
        <f>LARGE(Scoring!$V$2:$V$112,4)</f>
        <v/>
      </c>
    </row>
    <row r="9" ht="25.5" customHeight="1" s="37">
      <c r="A9" s="54" t="n">
        <v>5</v>
      </c>
      <c r="B9" s="55">
        <f>INDEX(Scoring!$B:$B,MATCH($H$9,Scoring!$V$2:$V$112,0)+1)</f>
        <v/>
      </c>
      <c r="C9" s="55">
        <f>INDEX(Scoring!$C:$C,MATCH($H$9,Scoring!$V$2:$V$112,0)+1)</f>
        <v/>
      </c>
      <c r="D9" s="55">
        <f>INDEX(Scoring!$D:$D,MATCH($H$9,Scoring!$V$2:$V$112,0)+1)</f>
        <v/>
      </c>
      <c r="E9" s="56">
        <f>INDEX(Scoring!$S:$S,MATCH($H$9,Scoring!$V$2:$V$112,0)+1)</f>
        <v/>
      </c>
      <c r="F9" s="55">
        <f>INDEX(Scoring!$J:$J,MATCH($H$9,Scoring!$V$2:$V$112,0)+1)&amp;" / "&amp;INDEX(Scoring!$R:$R,MATCH($H$9,Scoring!$V$2:$V$112,0)+1)</f>
        <v/>
      </c>
      <c r="H9" s="36">
        <f>LARGE(Scoring!$V$2:$V$112,5)</f>
        <v/>
      </c>
    </row>
    <row r="10" ht="25.5" customHeight="1" s="37">
      <c r="A10" s="54" t="n">
        <v>6</v>
      </c>
      <c r="B10" s="55">
        <f>INDEX(Scoring!$B:$B,MATCH($H$10,Scoring!$V$2:$V$112,0)+1)</f>
        <v/>
      </c>
      <c r="C10" s="55">
        <f>INDEX(Scoring!$C:$C,MATCH($H$10,Scoring!$V$2:$V$112,0)+1)</f>
        <v/>
      </c>
      <c r="D10" s="55">
        <f>INDEX(Scoring!$D:$D,MATCH($H$10,Scoring!$V$2:$V$112,0)+1)</f>
        <v/>
      </c>
      <c r="E10" s="56">
        <f>INDEX(Scoring!$S:$S,MATCH($H$10,Scoring!$V$2:$V$112,0)+1)</f>
        <v/>
      </c>
      <c r="F10" s="55">
        <f>INDEX(Scoring!$J:$J,MATCH($H$10,Scoring!$V$2:$V$112,0)+1)&amp;" / "&amp;INDEX(Scoring!$R:$R,MATCH($H$10,Scoring!$V$2:$V$112,0)+1)</f>
        <v/>
      </c>
      <c r="H10" s="36">
        <f>LARGE(Scoring!$V$2:$V$112,6)</f>
        <v/>
      </c>
    </row>
    <row r="11" ht="25.5" customHeight="1" s="37">
      <c r="A11" s="54" t="n">
        <v>7</v>
      </c>
      <c r="B11" s="55">
        <f>INDEX(Scoring!$B:$B,MATCH($H$11,Scoring!$V$2:$V$112,0)+1)</f>
        <v/>
      </c>
      <c r="C11" s="55">
        <f>INDEX(Scoring!$C:$C,MATCH($H$11,Scoring!$V$2:$V$112,0)+1)</f>
        <v/>
      </c>
      <c r="D11" s="55">
        <f>INDEX(Scoring!$D:$D,MATCH($H$11,Scoring!$V$2:$V$112,0)+1)</f>
        <v/>
      </c>
      <c r="E11" s="56">
        <f>INDEX(Scoring!$S:$S,MATCH($H$11,Scoring!$V$2:$V$112,0)+1)</f>
        <v/>
      </c>
      <c r="F11" s="55">
        <f>INDEX(Scoring!$J:$J,MATCH($H$11,Scoring!$V$2:$V$112,0)+1)&amp;" / "&amp;INDEX(Scoring!$R:$R,MATCH($H$11,Scoring!$V$2:$V$112,0)+1)</f>
        <v/>
      </c>
      <c r="H11" s="36">
        <f>LARGE(Scoring!$V$2:$V$112,7)</f>
        <v/>
      </c>
    </row>
    <row r="12" ht="25.5" customHeight="1" s="37">
      <c r="A12" s="54" t="n">
        <v>8</v>
      </c>
      <c r="B12" s="55">
        <f>INDEX(Scoring!$B:$B,MATCH($H$12,Scoring!$V$2:$V$112,0)+1)</f>
        <v/>
      </c>
      <c r="C12" s="55">
        <f>INDEX(Scoring!$C:$C,MATCH($H$12,Scoring!$V$2:$V$112,0)+1)</f>
        <v/>
      </c>
      <c r="D12" s="55">
        <f>INDEX(Scoring!$D:$D,MATCH($H$12,Scoring!$V$2:$V$112,0)+1)</f>
        <v/>
      </c>
      <c r="E12" s="56">
        <f>INDEX(Scoring!$S:$S,MATCH($H$12,Scoring!$V$2:$V$112,0)+1)</f>
        <v/>
      </c>
      <c r="F12" s="55">
        <f>INDEX(Scoring!$J:$J,MATCH($H$12,Scoring!$V$2:$V$112,0)+1)&amp;" / "&amp;INDEX(Scoring!$R:$R,MATCH($H$12,Scoring!$V$2:$V$112,0)+1)</f>
        <v/>
      </c>
      <c r="H12" s="36">
        <f>LARGE(Scoring!$V$2:$V$112,8)</f>
        <v/>
      </c>
    </row>
    <row r="13" ht="25.5" customHeight="1" s="37">
      <c r="A13" s="54" t="n">
        <v>9</v>
      </c>
      <c r="B13" s="55">
        <f>INDEX(Scoring!$B:$B,MATCH($H$13,Scoring!$V$2:$V$112,0)+1)</f>
        <v/>
      </c>
      <c r="C13" s="55">
        <f>INDEX(Scoring!$C:$C,MATCH($H$13,Scoring!$V$2:$V$112,0)+1)</f>
        <v/>
      </c>
      <c r="D13" s="55">
        <f>INDEX(Scoring!$D:$D,MATCH($H$13,Scoring!$V$2:$V$112,0)+1)</f>
        <v/>
      </c>
      <c r="E13" s="56">
        <f>INDEX(Scoring!$S:$S,MATCH($H$13,Scoring!$V$2:$V$112,0)+1)</f>
        <v/>
      </c>
      <c r="F13" s="55">
        <f>INDEX(Scoring!$J:$J,MATCH($H$13,Scoring!$V$2:$V$112,0)+1)&amp;" / "&amp;INDEX(Scoring!$R:$R,MATCH($H$13,Scoring!$V$2:$V$112,0)+1)</f>
        <v/>
      </c>
      <c r="H13" s="36">
        <f>LARGE(Scoring!$V$2:$V$112,9)</f>
        <v/>
      </c>
    </row>
    <row r="14" ht="25.5" customHeight="1" s="37">
      <c r="A14" s="54" t="n">
        <v>10</v>
      </c>
      <c r="B14" s="55">
        <f>INDEX(Scoring!$B:$B,MATCH($H$14,Scoring!$V$2:$V$112,0)+1)</f>
        <v/>
      </c>
      <c r="C14" s="55">
        <f>INDEX(Scoring!$C:$C,MATCH($H$14,Scoring!$V$2:$V$112,0)+1)</f>
        <v/>
      </c>
      <c r="D14" s="55">
        <f>INDEX(Scoring!$D:$D,MATCH($H$14,Scoring!$V$2:$V$112,0)+1)</f>
        <v/>
      </c>
      <c r="E14" s="56">
        <f>INDEX(Scoring!$S:$S,MATCH($H$14,Scoring!$V$2:$V$112,0)+1)</f>
        <v/>
      </c>
      <c r="F14" s="55">
        <f>INDEX(Scoring!$J:$J,MATCH($H$14,Scoring!$V$2:$V$112,0)+1)&amp;" / "&amp;INDEX(Scoring!$R:$R,MATCH($H$14,Scoring!$V$2:$V$112,0)+1)</f>
        <v/>
      </c>
      <c r="H14" s="36">
        <f>LARGE(Scoring!$V$2:$V$112,10)</f>
        <v/>
      </c>
    </row>
    <row r="15" ht="25.5" customHeight="1" s="37">
      <c r="A15" s="54" t="n">
        <v>11</v>
      </c>
      <c r="B15" s="55">
        <f>INDEX(Scoring!$B:$B,MATCH($H$15,Scoring!$V$2:$V$112,0)+1)</f>
        <v/>
      </c>
      <c r="C15" s="55">
        <f>INDEX(Scoring!$C:$C,MATCH($H$15,Scoring!$V$2:$V$112,0)+1)</f>
        <v/>
      </c>
      <c r="D15" s="55">
        <f>INDEX(Scoring!$D:$D,MATCH($H$15,Scoring!$V$2:$V$112,0)+1)</f>
        <v/>
      </c>
      <c r="E15" s="56">
        <f>INDEX(Scoring!$S:$S,MATCH($H$15,Scoring!$V$2:$V$112,0)+1)</f>
        <v/>
      </c>
      <c r="F15" s="55">
        <f>INDEX(Scoring!$J:$J,MATCH($H$15,Scoring!$V$2:$V$112,0)+1)&amp;" / "&amp;INDEX(Scoring!$R:$R,MATCH($H$15,Scoring!$V$2:$V$112,0)+1)</f>
        <v/>
      </c>
      <c r="H15" s="36">
        <f>LARGE(Scoring!$V$2:$V$112,11)</f>
        <v/>
      </c>
    </row>
    <row r="16" ht="25.5" customHeight="1" s="37">
      <c r="A16" s="54" t="n">
        <v>12</v>
      </c>
      <c r="B16" s="55">
        <f>INDEX(Scoring!$B:$B,MATCH($H$16,Scoring!$V$2:$V$112,0)+1)</f>
        <v/>
      </c>
      <c r="C16" s="55">
        <f>INDEX(Scoring!$C:$C,MATCH($H$16,Scoring!$V$2:$V$112,0)+1)</f>
        <v/>
      </c>
      <c r="D16" s="55">
        <f>INDEX(Scoring!$D:$D,MATCH($H$16,Scoring!$V$2:$V$112,0)+1)</f>
        <v/>
      </c>
      <c r="E16" s="56">
        <f>INDEX(Scoring!$S:$S,MATCH($H$16,Scoring!$V$2:$V$112,0)+1)</f>
        <v/>
      </c>
      <c r="F16" s="55">
        <f>INDEX(Scoring!$J:$J,MATCH($H$16,Scoring!$V$2:$V$112,0)+1)&amp;" / "&amp;INDEX(Scoring!$R:$R,MATCH($H$16,Scoring!$V$2:$V$112,0)+1)</f>
        <v/>
      </c>
      <c r="H16" s="36">
        <f>LARGE(Scoring!$V$2:$V$112,12)</f>
        <v/>
      </c>
    </row>
    <row r="17" ht="25.5" customHeight="1" s="37">
      <c r="A17" s="54" t="n">
        <v>13</v>
      </c>
      <c r="B17" s="55">
        <f>INDEX(Scoring!$B:$B,MATCH($H$17,Scoring!$V$2:$V$112,0)+1)</f>
        <v/>
      </c>
      <c r="C17" s="55">
        <f>INDEX(Scoring!$C:$C,MATCH($H$17,Scoring!$V$2:$V$112,0)+1)</f>
        <v/>
      </c>
      <c r="D17" s="55">
        <f>INDEX(Scoring!$D:$D,MATCH($H$17,Scoring!$V$2:$V$112,0)+1)</f>
        <v/>
      </c>
      <c r="E17" s="56">
        <f>INDEX(Scoring!$S:$S,MATCH($H$17,Scoring!$V$2:$V$112,0)+1)</f>
        <v/>
      </c>
      <c r="F17" s="55">
        <f>INDEX(Scoring!$J:$J,MATCH($H$17,Scoring!$V$2:$V$112,0)+1)&amp;" / "&amp;INDEX(Scoring!$R:$R,MATCH($H$17,Scoring!$V$2:$V$112,0)+1)</f>
        <v/>
      </c>
      <c r="H17" s="36">
        <f>LARGE(Scoring!$V$2:$V$112,13)</f>
        <v/>
      </c>
    </row>
    <row r="18" ht="25.5" customHeight="1" s="37">
      <c r="A18" s="54" t="n">
        <v>14</v>
      </c>
      <c r="B18" s="55">
        <f>INDEX(Scoring!$B:$B,MATCH($H$18,Scoring!$V$2:$V$112,0)+1)</f>
        <v/>
      </c>
      <c r="C18" s="55">
        <f>INDEX(Scoring!$C:$C,MATCH($H$18,Scoring!$V$2:$V$112,0)+1)</f>
        <v/>
      </c>
      <c r="D18" s="55">
        <f>INDEX(Scoring!$D:$D,MATCH($H$18,Scoring!$V$2:$V$112,0)+1)</f>
        <v/>
      </c>
      <c r="E18" s="56">
        <f>INDEX(Scoring!$S:$S,MATCH($H$18,Scoring!$V$2:$V$112,0)+1)</f>
        <v/>
      </c>
      <c r="F18" s="55">
        <f>INDEX(Scoring!$J:$J,MATCH($H$18,Scoring!$V$2:$V$112,0)+1)&amp;" / "&amp;INDEX(Scoring!$R:$R,MATCH($H$18,Scoring!$V$2:$V$112,0)+1)</f>
        <v/>
      </c>
      <c r="H18" s="36">
        <f>LARGE(Scoring!$V$2:$V$112,14)</f>
        <v/>
      </c>
    </row>
    <row r="19" ht="25.5" customHeight="1" s="37">
      <c r="A19" s="54" t="n">
        <v>15</v>
      </c>
      <c r="B19" s="55">
        <f>INDEX(Scoring!$B:$B,MATCH($H$19,Scoring!$V$2:$V$112,0)+1)</f>
        <v/>
      </c>
      <c r="C19" s="55">
        <f>INDEX(Scoring!$C:$C,MATCH($H$19,Scoring!$V$2:$V$112,0)+1)</f>
        <v/>
      </c>
      <c r="D19" s="55">
        <f>INDEX(Scoring!$D:$D,MATCH($H$19,Scoring!$V$2:$V$112,0)+1)</f>
        <v/>
      </c>
      <c r="E19" s="56">
        <f>INDEX(Scoring!$S:$S,MATCH($H$19,Scoring!$V$2:$V$112,0)+1)</f>
        <v/>
      </c>
      <c r="F19" s="55">
        <f>INDEX(Scoring!$J:$J,MATCH($H$19,Scoring!$V$2:$V$112,0)+1)&amp;" / "&amp;INDEX(Scoring!$R:$R,MATCH($H$19,Scoring!$V$2:$V$112,0)+1)</f>
        <v/>
      </c>
      <c r="H19" s="36">
        <f>LARGE(Scoring!$V$2:$V$112,15)</f>
        <v/>
      </c>
    </row>
    <row r="21" ht="15" customHeight="1" s="37">
      <c r="A21" s="52" t="inlineStr">
        <is>
          <t>↑ Live — these rankings recalculate when you edit the User Input sheet.</t>
        </is>
      </c>
    </row>
  </sheetData>
  <mergeCells count="3">
    <mergeCell ref="A2:F2"/>
    <mergeCell ref="A21:F21"/>
    <mergeCell ref="A1:F1"/>
  </mergeCells>
  <conditionalFormatting sqref="E5:E19">
    <cfRule type="colorScale" priority="2">
      <colorScale>
        <cfvo type="num" val="0"/>
        <cfvo type="num" val="50"/>
        <cfvo type="num" val="10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Z11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6" min="1" max="1"/>
    <col width="24" customWidth="1" style="36" min="2" max="2"/>
    <col width="22" customWidth="1" style="36" min="3" max="3"/>
    <col width="18" customWidth="1" style="36" min="4" max="4"/>
    <col width="10" customWidth="1" style="36" min="5" max="8"/>
    <col width="14" customWidth="1" style="36" min="9" max="10"/>
    <col width="8" customWidth="1" style="36" min="11" max="11"/>
    <col width="10" customWidth="1" style="36" min="12" max="14"/>
    <col width="8" customWidth="1" style="36" min="15" max="15"/>
    <col width="10" customWidth="1" style="36" min="16" max="17"/>
    <col width="14" customWidth="1" style="36" min="18" max="18"/>
    <col width="10" customWidth="1" style="36" min="19" max="19"/>
    <col hidden="1" width="13" customWidth="1" style="36" min="20" max="22"/>
  </cols>
  <sheetData>
    <row r="1" ht="39.75" customHeight="1" s="37">
      <c r="A1" s="53" t="inlineStr">
        <is>
          <t>Sport ID</t>
        </is>
      </c>
      <c r="B1" s="53" t="inlineStr">
        <is>
          <t>Sport</t>
        </is>
      </c>
      <c r="C1" s="53" t="inlineStr">
        <is>
          <t>Position</t>
        </is>
      </c>
      <c r="D1" s="53" t="inlineStr">
        <is>
          <t>Category</t>
        </is>
      </c>
      <c r="E1" s="53" t="inlineStr">
        <is>
          <t>Height penalty</t>
        </is>
      </c>
      <c r="F1" s="53" t="inlineStr">
        <is>
          <t>Weight penalty</t>
        </is>
      </c>
      <c r="G1" s="53" t="inlineStr">
        <is>
          <t>BF% penalty</t>
        </is>
      </c>
      <c r="H1" s="53" t="inlineStr">
        <is>
          <t>Wingspan penalty</t>
        </is>
      </c>
      <c r="I1" s="53" t="inlineStr">
        <is>
          <t>Demand-profile fit (0–100)</t>
        </is>
      </c>
      <c r="J1" s="53" t="inlineStr">
        <is>
          <t>Built-for score (0–100)</t>
        </is>
      </c>
      <c r="K1" s="53" t="inlineStr">
        <is>
          <t>Sex match</t>
        </is>
      </c>
      <c r="L1" s="53" t="inlineStr">
        <is>
          <t>Team/solo match</t>
        </is>
      </c>
      <c r="M1" s="53" t="inlineStr">
        <is>
          <t>Contact match</t>
        </is>
      </c>
      <c r="N1" s="53" t="inlineStr">
        <is>
          <t>Env match</t>
        </is>
      </c>
      <c r="O1" s="53" t="inlineStr">
        <is>
          <t>Water OK</t>
        </is>
      </c>
      <c r="P1" s="53" t="inlineStr">
        <is>
          <t>Budget OK</t>
        </is>
      </c>
      <c r="Q1" s="53" t="inlineStr">
        <is>
          <t>Ireland fit</t>
        </is>
      </c>
      <c r="R1" s="53" t="inlineStr">
        <is>
          <t>Enjoyment score (0–100)</t>
        </is>
      </c>
      <c r="S1" s="53" t="inlineStr">
        <is>
          <t>TOTAL (0–100)</t>
        </is>
      </c>
      <c r="T1" s="46" t="inlineStr">
        <is>
          <t>_tb_built</t>
        </is>
      </c>
      <c r="U1" s="46" t="inlineStr">
        <is>
          <t>_tb_enjoy</t>
        </is>
      </c>
      <c r="V1" s="46" t="inlineStr">
        <is>
          <t>_tb_total</t>
        </is>
      </c>
      <c r="W1" s="36" t="inlineStr">
        <is>
          <t>Category boost</t>
        </is>
      </c>
      <c r="X1" s="36" t="inlineStr">
        <is>
          <t>Experience fit</t>
        </is>
      </c>
      <c r="Y1" s="36" t="inlineStr">
        <is>
          <t>Age fit</t>
        </is>
      </c>
      <c r="Z1" s="36" t="inlineStr">
        <is>
          <t>Injury fit</t>
        </is>
      </c>
    </row>
    <row r="2" ht="15" customHeight="1" s="37">
      <c r="A2" s="59">
        <f>Profiles!A3</f>
        <v/>
      </c>
      <c r="B2" s="59">
        <f>Profiles!B3</f>
        <v/>
      </c>
      <c r="C2" s="59">
        <f>Profiles!C3</f>
        <v/>
      </c>
      <c r="D2" s="59">
        <f>Profiles!D3</f>
        <v/>
      </c>
      <c r="E2" s="60">
        <f>IF(ISNUMBER(Profiles!E3),IF(ISNUMBER(Profiles!F3),MAX(0,1-(MAX(0,ABS('User Input'!$B$9-Profiles!E3)-Profiles!F3))/Profiles!F3/3),MAX(0,1-ABS('User Input'!$B$9-Profiles!E3)/(Profiles!E3*0.1)/3)),0.5)</f>
        <v/>
      </c>
      <c r="F2" s="60">
        <f>IF(ISNUMBER(Profiles!G3),IF(ISNUMBER(Profiles!H3),MAX(0,1-(MAX(0,ABS('User Input'!$B$10-Profiles!G3)-Profiles!H3))/Profiles!H3/3),MAX(0,1-ABS('User Input'!$B$10-Profiles!G3)/(Profiles!G3*0.15)/3)),0.5)</f>
        <v/>
      </c>
      <c r="G2" s="60">
        <f>IF(ISNUMBER(Profiles!J3),MAX(0,1-ABS('User Input'!$B$12-Profiles!J3)/5/3),0.5)</f>
        <v/>
      </c>
      <c r="H2" s="60">
        <f>IF(ISNUMBER(Profiles!K3),MAX(0,1-ABS('User Input'!$B$14-Profiles!K3)/0.03/3),"n/a")</f>
        <v/>
      </c>
      <c r="I2" s="61">
        <f>100*MAX(0,1-(MAX(0,Profiles!M3-'User Input'!$B$17)+0.5*MAX(0,'User Input'!$B$17-Profiles!M3)+MAX(0,Profiles!N3-'User Input'!$B$18)+0.5*MAX(0,'User Input'!$B$18-Profiles!N3)+MAX(0,Profiles!O3-'User Input'!$B$19)+0.5*MAX(0,'User Input'!$B$19-Profiles!O3)+MAX(0,Profiles!P3-'User Input'!$B$20)+0.5*MAX(0,'User Input'!$B$20-Profiles!P3)+MAX(0,Profiles!Q3-'User Input'!$B$21)+0.5*MAX(0,'User Input'!$B$21-Profiles!Q3)+MAX(0,Profiles!S3-'User Input'!$B$22)+0.5*MAX(0,'User Input'!$B$22-Profiles!S3)+MAX(0,Profiles!T3-'User Input'!$B$23)+0.5*MAX(0,'User Input'!$B$23-Profiles!T3)+MAX(0,Profiles!U3-'User Input'!$B$24)+0.5*MAX(0,'User Input'!$B$24-Profiles!U3))/40)</f>
        <v/>
      </c>
      <c r="J2" s="61">
        <f>ROUND(60*(E2+F2+G2+IFERROR(VALUE(H2),(E2+F2+G2)/3))/4 + 0.4*I2,1)</f>
        <v/>
      </c>
      <c r="K2" s="60">
        <f>IF(OR(AND('User Input'!$B$6="M",Profiles!$AG3="M"),AND('User Input'!$B$6="F",Profiles!$AG3="F")),1,0)</f>
        <v/>
      </c>
      <c r="L2" s="60">
        <f>IF('User Input'!$B$27="Either",(IF(Profiles!V3&gt;=4,1,0.3)+IF(OR(Profiles!V3&lt;=2,ISNUMBER(SEARCH("Individual",Profiles!D3))),1,0.3))/2,IF('User Input'!$B$27="Team",IF(Profiles!V3&gt;=4,1,0.3),IF(OR(Profiles!V3&lt;=2,ISNUMBER(SEARCH("Individual",Profiles!D3))),1,0.3)))</f>
        <v/>
      </c>
      <c r="M2" s="60">
        <f>IF(IFERROR(MATCH(Profiles!W3,{"None","Light","Medium","Heavy"},0)-1,0)&lt;=IFERROR(MATCH('User Input'!$B$28,{"None","Light","Medium","Heavy"},0)-1,3),1,MAX(0,1-0.4*(IFERROR(MATCH(Profiles!W3,{"None","Light","Medium","Heavy"},0)-1,0)-IFERROR(MATCH('User Input'!$B$28,{"None","Light","Medium","Heavy"},0)-1,3))))</f>
        <v/>
      </c>
      <c r="N2" s="60">
        <f>IF('User Input'!$B$29="neutral",1,IF('User Input'!$B$29="essential",IF(ISNUMBER(SEARCH("Outdoor",Profiles!X3)),1,0.3),IF('User Input'!$B$29="nice",IF(ISNUMBER(SEARCH("Outdoor",Profiles!X3)),1,0.65),IF('User Input'!$B$29="indoor",IF(ISNUMBER(SEARCH("Indoor",Profiles!X3)),1,0.4),1))))</f>
        <v/>
      </c>
      <c r="O2" s="60">
        <f>IF('User Input'!$B$30="Yes",1,IF(Profiles!Y3="Yes",0,1))</f>
        <v/>
      </c>
      <c r="P2" s="60">
        <f>IF(IFERROR(MATCH(Profiles!Z3,{"Low","Medium","High"},0),2)&lt;=IFERROR(MATCH('User Input'!$B$31,{"Low","Medium","High"},0),2),1,MAX(0,1-0.4*(IFERROR(MATCH(Profiles!Z3,{"Low","Medium","High"},0),2)-IFERROR(MATCH('User Input'!$B$31,{"Low","Medium","High"},0),2))))</f>
        <v/>
      </c>
      <c r="Q2" s="60">
        <f>IF('User Input'!$B$32="Yes",IF(ISNUMBER(Profiles!AC3),Profiles!AC3/10,0.5),1)</f>
        <v/>
      </c>
      <c r="R2" s="61">
        <f>IF(OR(K2=0,O2=0),0,ROUND(MIN(100,100*(K2*0.1+L2*0.2+M2*0.2+N2*0.1+P2*0.15+Q2*0.25)*W2*X2*Y2*Z2),1))</f>
        <v/>
      </c>
      <c r="S2" s="61">
        <f>IF(R2=0,0,ROUND(0.5*J2+0.5*R2,1))</f>
        <v/>
      </c>
      <c r="T2" s="36">
        <f>J2-ROW()/1000000</f>
        <v/>
      </c>
      <c r="U2" s="36">
        <f>R2-ROW()/1000000</f>
        <v/>
      </c>
      <c r="V2" s="36">
        <f>S2-ROW()/1000000</f>
        <v/>
      </c>
      <c r="W2" s="36">
        <f>IF(OR(AND(OR(Profiles!D3="Team field",Profiles!D3="Team field contact",Profiles!D3="Team field stick"),'User Input'!$B$34="Yes"),AND(OR(Profiles!D3="Team court",Profiles!D3="Team court contact"),'User Input'!$B$35="Yes"),AND(Profiles!D3="Individual racquet",'User Input'!$B$36="Yes"),AND(OR(Profiles!D3="Combat striking",Profiles!D3="Combat grappling",Profiles!D3="Combat mixed"),'User Input'!$B$37="Yes"),AND(OR(Profiles!D3="Team water contact",Profiles!D3="Individual water"),'User Input'!$B$38="Yes"),AND(OR(Profiles!D3="Endurance individual",Profiles!D3="Endurance individual / pair",Profiles!D3="Endurance individual / pursuit",Profiles!D3="Endurance team / pair",Profiles!D3="Endurance multi"),'User Input'!$B$39="Yes"),AND(OR(Profiles!D3="Strength individual",Profiles!D3="Power-throw individual"),'User Input'!$B$40="Yes"),AND(OR(Profiles!D3="Individual technical",Profiles!D3="Individual aesthetic",Profiles!D3="Team precision"),'User Input'!$B$41="Yes")),1.15,1)</f>
        <v/>
      </c>
      <c r="X2" s="36">
        <f>IF('User Input'!$B$33&lt;&gt;"none",1,IF(IFERROR(VALUE(TRIM(MID(SUBSTITUTE(SUBSTITUTE(Profiles!AA3,"–","-"),"-",REPT(" ",100)),100,100)))&lt;=14,FALSE),0.7,1))</f>
        <v/>
      </c>
      <c r="Y2" s="36">
        <f>IF(OR('User Input'!$B$42="under30",'User Input'!$B$42=""),1,IF('User Input'!$B$42="30to45",IF((IFERROR(MATCH(Profiles!W3,{"None","Light","Medium","Heavy"},0)-1,0)+IFERROR(MATCH(Profiles!AB3,{"Low","Medium","High"},0)-1,0))&gt;=5,0.85,1),IF('User Input'!$B$42="46to60",IF((IFERROR(MATCH(Profiles!W3,{"None","Light","Medium","Heavy"},0)-1,0)+IFERROR(MATCH(Profiles!AB3,{"Low","Medium","High"},0)-1,0))&gt;=5,0.65,IF((IFERROR(MATCH(Profiles!W3,{"None","Light","Medium","Heavy"},0)-1,0)+IFERROR(MATCH(Profiles!AB3,{"Low","Medium","High"},0)-1,0))&gt;=4,0.8,IF((IFERROR(MATCH(Profiles!W3,{"None","Light","Medium","Heavy"},0)-1,0)+IFERROR(MATCH(Profiles!AB3,{"Low","Medium","High"},0)-1,0))&gt;=3,0.9,1))),IF((IFERROR(MATCH(Profiles!W3,{"None","Light","Medium","Heavy"},0)-1,0)+IFERROR(MATCH(Profiles!AB3,{"Low","Medium","High"},0)-1,0))&gt;=5,0.4,IF((IFERROR(MATCH(Profiles!W3,{"None","Light","Medium","Heavy"},0)-1,0)+IFERROR(MATCH(Profiles!AB3,{"Low","Medium","High"},0)-1,0))&gt;=4,0.6,IF((IFERROR(MATCH(Profiles!W3,{"None","Light","Medium","Heavy"},0)-1,0)+IFERROR(MATCH(Profiles!AB3,{"Low","Medium","High"},0)-1,0))&gt;=3,0.75,IF((IFERROR(MATCH(Profiles!W3,{"None","Light","Medium","Heavy"},0)-1,0)+IFERROR(MATCH(Profiles!AB3,{"Low","Medium","High"},0)-1,0))&gt;=2,0.85,1)))))))</f>
        <v/>
      </c>
      <c r="Z2" s="36">
        <f>IF(OR('User Input'!$B$43="none",'User Input'!$B$43=""),1,IF('User Input'!$B$43="minor",IF(IFERROR(MATCH(Profiles!W3,{"None","Light","Medium","Heavy"},0)-1,0)&gt;=3,0.7,IF(IFERROR(MATCH(Profiles!W3,{"None","Light","Medium","Heavy"},0)-1,0)&gt;=2,0.85,1)),IF('User Input'!$B$43="joint",IF(OR(IFERROR(MATCH(Profiles!W3,{"None","Light","Medium","Heavy"},0)-1,0)&gt;=3,IFERROR(MATCH(Profiles!AB3,{"Low","Medium","High"},0)-1,0)&gt;=2),0.5,IF(OR(IFERROR(MATCH(Profiles!W3,{"None","Light","Medium","Heavy"},0)-1,0)&gt;=2,IFERROR(MATCH(Profiles!AB3,{"Low","Medium","High"},0)-1,0)&gt;=1),0.75,1)),IF(OR(IFERROR(MATCH(Profiles!W3,{"None","Light","Medium","Heavy"},0)-1,0)&gt;=2,IFERROR(MATCH(Profiles!AB3,{"Low","Medium","High"},0)-1,0)&gt;=2),0.3,IF(OR(IFERROR(MATCH(Profiles!W3,{"None","Light","Medium","Heavy"},0)-1,0)&gt;=1,IFERROR(MATCH(Profiles!AB3,{"Low","Medium","High"},0)-1,0)&gt;=1),0.6,0.9)))))</f>
        <v/>
      </c>
    </row>
    <row r="3" ht="15" customHeight="1" s="37">
      <c r="A3" s="59">
        <f>Profiles!A4</f>
        <v/>
      </c>
      <c r="B3" s="59">
        <f>Profiles!B4</f>
        <v/>
      </c>
      <c r="C3" s="59">
        <f>Profiles!C4</f>
        <v/>
      </c>
      <c r="D3" s="59">
        <f>Profiles!D4</f>
        <v/>
      </c>
      <c r="E3" s="60">
        <f>IF(ISNUMBER(Profiles!E4),IF(ISNUMBER(Profiles!F4),MAX(0,1-(MAX(0,ABS('User Input'!$B$9-Profiles!E4)-Profiles!F4))/Profiles!F4/3),MAX(0,1-ABS('User Input'!$B$9-Profiles!E4)/(Profiles!E4*0.1)/3)),0.5)</f>
        <v/>
      </c>
      <c r="F3" s="60">
        <f>IF(ISNUMBER(Profiles!G4),IF(ISNUMBER(Profiles!H4),MAX(0,1-(MAX(0,ABS('User Input'!$B$10-Profiles!G4)-Profiles!H4))/Profiles!H4/3),MAX(0,1-ABS('User Input'!$B$10-Profiles!G4)/(Profiles!G4*0.15)/3)),0.5)</f>
        <v/>
      </c>
      <c r="G3" s="60">
        <f>IF(ISNUMBER(Profiles!J4),MAX(0,1-ABS('User Input'!$B$12-Profiles!J4)/5/3),0.5)</f>
        <v/>
      </c>
      <c r="H3" s="60">
        <f>IF(ISNUMBER(Profiles!K4),MAX(0,1-ABS('User Input'!$B$14-Profiles!K4)/0.03/3),"n/a")</f>
        <v/>
      </c>
      <c r="I3" s="61">
        <f>100*MAX(0,1-(MAX(0,Profiles!M4-'User Input'!$B$17)+0.5*MAX(0,'User Input'!$B$17-Profiles!M4)+MAX(0,Profiles!N4-'User Input'!$B$18)+0.5*MAX(0,'User Input'!$B$18-Profiles!N4)+MAX(0,Profiles!O4-'User Input'!$B$19)+0.5*MAX(0,'User Input'!$B$19-Profiles!O4)+MAX(0,Profiles!P4-'User Input'!$B$20)+0.5*MAX(0,'User Input'!$B$20-Profiles!P4)+MAX(0,Profiles!Q4-'User Input'!$B$21)+0.5*MAX(0,'User Input'!$B$21-Profiles!Q4)+MAX(0,Profiles!S4-'User Input'!$B$22)+0.5*MAX(0,'User Input'!$B$22-Profiles!S4)+MAX(0,Profiles!T4-'User Input'!$B$23)+0.5*MAX(0,'User Input'!$B$23-Profiles!T4)+MAX(0,Profiles!U4-'User Input'!$B$24)+0.5*MAX(0,'User Input'!$B$24-Profiles!U4))/40)</f>
        <v/>
      </c>
      <c r="J3" s="61">
        <f>ROUND(60*(E3+F3+G3+IFERROR(VALUE(H3),(E3+F3+G3)/3))/4 + 0.4*I3,1)</f>
        <v/>
      </c>
      <c r="K3" s="60">
        <f>IF(OR(AND('User Input'!$B$6="M",Profiles!$AG4="M"),AND('User Input'!$B$6="F",Profiles!$AG4="F")),1,0)</f>
        <v/>
      </c>
      <c r="L3" s="60">
        <f>IF('User Input'!$B$27="Either",(IF(Profiles!V4&gt;=4,1,0.3)+IF(OR(Profiles!V4&lt;=2,ISNUMBER(SEARCH("Individual",Profiles!D4))),1,0.3))/2,IF('User Input'!$B$27="Team",IF(Profiles!V4&gt;=4,1,0.3),IF(OR(Profiles!V4&lt;=2,ISNUMBER(SEARCH("Individual",Profiles!D4))),1,0.3)))</f>
        <v/>
      </c>
      <c r="M3" s="60">
        <f>IF(IFERROR(MATCH(Profiles!W4,{"None","Light","Medium","Heavy"},0)-1,0)&lt;=IFERROR(MATCH('User Input'!$B$28,{"None","Light","Medium","Heavy"},0)-1,3),1,MAX(0,1-0.4*(IFERROR(MATCH(Profiles!W4,{"None","Light","Medium","Heavy"},0)-1,0)-IFERROR(MATCH('User Input'!$B$28,{"None","Light","Medium","Heavy"},0)-1,3))))</f>
        <v/>
      </c>
      <c r="N3" s="60">
        <f>IF('User Input'!$B$29="neutral",1,IF('User Input'!$B$29="essential",IF(ISNUMBER(SEARCH("Outdoor",Profiles!X4)),1,0.3),IF('User Input'!$B$29="nice",IF(ISNUMBER(SEARCH("Outdoor",Profiles!X4)),1,0.65),IF('User Input'!$B$29="indoor",IF(ISNUMBER(SEARCH("Indoor",Profiles!X4)),1,0.4),1))))</f>
        <v/>
      </c>
      <c r="O3" s="60">
        <f>IF('User Input'!$B$30="Yes",1,IF(Profiles!Y4="Yes",0,1))</f>
        <v/>
      </c>
      <c r="P3" s="60">
        <f>IF(IFERROR(MATCH(Profiles!Z4,{"Low","Medium","High"},0),2)&lt;=IFERROR(MATCH('User Input'!$B$31,{"Low","Medium","High"},0),2),1,MAX(0,1-0.4*(IFERROR(MATCH(Profiles!Z4,{"Low","Medium","High"},0),2)-IFERROR(MATCH('User Input'!$B$31,{"Low","Medium","High"},0),2))))</f>
        <v/>
      </c>
      <c r="Q3" s="60">
        <f>IF('User Input'!$B$32="Yes",IF(ISNUMBER(Profiles!AC4),Profiles!AC4/10,0.5),1)</f>
        <v/>
      </c>
      <c r="R3" s="61">
        <f>IF(OR(K3=0,O3=0),0,ROUND(MIN(100,100*(K3*0.1+L3*0.2+M3*0.2+N3*0.1+P3*0.15+Q3*0.25)*W3*X3*Y3*Z3),1))</f>
        <v/>
      </c>
      <c r="S3" s="61">
        <f>IF(R3=0,0,ROUND(0.5*J3+0.5*R3,1))</f>
        <v/>
      </c>
      <c r="T3" s="36">
        <f>J3-ROW()/1000000</f>
        <v/>
      </c>
      <c r="U3" s="36">
        <f>R3-ROW()/1000000</f>
        <v/>
      </c>
      <c r="V3" s="36">
        <f>S3-ROW()/1000000</f>
        <v/>
      </c>
      <c r="W3" s="36">
        <f>IF(OR(AND(OR(Profiles!D4="Team field",Profiles!D4="Team field contact",Profiles!D4="Team field stick"),'User Input'!$B$34="Yes"),AND(OR(Profiles!D4="Team court",Profiles!D4="Team court contact"),'User Input'!$B$35="Yes"),AND(Profiles!D4="Individual racquet",'User Input'!$B$36="Yes"),AND(OR(Profiles!D4="Combat striking",Profiles!D4="Combat grappling",Profiles!D4="Combat mixed"),'User Input'!$B$37="Yes"),AND(OR(Profiles!D4="Team water contact",Profiles!D4="Individual water"),'User Input'!$B$38="Yes"),AND(OR(Profiles!D4="Endurance individual",Profiles!D4="Endurance individual / pair",Profiles!D4="Endurance individual / pursuit",Profiles!D4="Endurance team / pair",Profiles!D4="Endurance multi"),'User Input'!$B$39="Yes"),AND(OR(Profiles!D4="Strength individual",Profiles!D4="Power-throw individual"),'User Input'!$B$40="Yes"),AND(OR(Profiles!D4="Individual technical",Profiles!D4="Individual aesthetic",Profiles!D4="Team precision"),'User Input'!$B$41="Yes")),1.15,1)</f>
        <v/>
      </c>
      <c r="X3" s="36">
        <f>IF('User Input'!$B$33&lt;&gt;"none",1,IF(IFERROR(VALUE(TRIM(MID(SUBSTITUTE(SUBSTITUTE(Profiles!AA4,"–","-"),"-",REPT(" ",100)),100,100)))&lt;=14,FALSE),0.7,1))</f>
        <v/>
      </c>
      <c r="Y3" s="36">
        <f>IF(OR('User Input'!$B$42="under30",'User Input'!$B$42=""),1,IF('User Input'!$B$42="30to45",IF((IFERROR(MATCH(Profiles!W4,{"None","Light","Medium","Heavy"},0)-1,0)+IFERROR(MATCH(Profiles!AB4,{"Low","Medium","High"},0)-1,0))&gt;=5,0.85,1),IF('User Input'!$B$42="46to60",IF((IFERROR(MATCH(Profiles!W4,{"None","Light","Medium","Heavy"},0)-1,0)+IFERROR(MATCH(Profiles!AB4,{"Low","Medium","High"},0)-1,0))&gt;=5,0.65,IF((IFERROR(MATCH(Profiles!W4,{"None","Light","Medium","Heavy"},0)-1,0)+IFERROR(MATCH(Profiles!AB4,{"Low","Medium","High"},0)-1,0))&gt;=4,0.8,IF((IFERROR(MATCH(Profiles!W4,{"None","Light","Medium","Heavy"},0)-1,0)+IFERROR(MATCH(Profiles!AB4,{"Low","Medium","High"},0)-1,0))&gt;=3,0.9,1))),IF((IFERROR(MATCH(Profiles!W4,{"None","Light","Medium","Heavy"},0)-1,0)+IFERROR(MATCH(Profiles!AB4,{"Low","Medium","High"},0)-1,0))&gt;=5,0.4,IF((IFERROR(MATCH(Profiles!W4,{"None","Light","Medium","Heavy"},0)-1,0)+IFERROR(MATCH(Profiles!AB4,{"Low","Medium","High"},0)-1,0))&gt;=4,0.6,IF((IFERROR(MATCH(Profiles!W4,{"None","Light","Medium","Heavy"},0)-1,0)+IFERROR(MATCH(Profiles!AB4,{"Low","Medium","High"},0)-1,0))&gt;=3,0.75,IF((IFERROR(MATCH(Profiles!W4,{"None","Light","Medium","Heavy"},0)-1,0)+IFERROR(MATCH(Profiles!AB4,{"Low","Medium","High"},0)-1,0))&gt;=2,0.85,1)))))))</f>
        <v/>
      </c>
      <c r="Z3" s="36">
        <f>IF(OR('User Input'!$B$43="none",'User Input'!$B$43=""),1,IF('User Input'!$B$43="minor",IF(IFERROR(MATCH(Profiles!W4,{"None","Light","Medium","Heavy"},0)-1,0)&gt;=3,0.7,IF(IFERROR(MATCH(Profiles!W4,{"None","Light","Medium","Heavy"},0)-1,0)&gt;=2,0.85,1)),IF('User Input'!$B$43="joint",IF(OR(IFERROR(MATCH(Profiles!W4,{"None","Light","Medium","Heavy"},0)-1,0)&gt;=3,IFERROR(MATCH(Profiles!AB4,{"Low","Medium","High"},0)-1,0)&gt;=2),0.5,IF(OR(IFERROR(MATCH(Profiles!W4,{"None","Light","Medium","Heavy"},0)-1,0)&gt;=2,IFERROR(MATCH(Profiles!AB4,{"Low","Medium","High"},0)-1,0)&gt;=1),0.75,1)),IF(OR(IFERROR(MATCH(Profiles!W4,{"None","Light","Medium","Heavy"},0)-1,0)&gt;=2,IFERROR(MATCH(Profiles!AB4,{"Low","Medium","High"},0)-1,0)&gt;=2),0.3,IF(OR(IFERROR(MATCH(Profiles!W4,{"None","Light","Medium","Heavy"},0)-1,0)&gt;=1,IFERROR(MATCH(Profiles!AB4,{"Low","Medium","High"},0)-1,0)&gt;=1),0.6,0.9)))))</f>
        <v/>
      </c>
    </row>
    <row r="4" ht="15" customHeight="1" s="37">
      <c r="A4" s="59">
        <f>Profiles!A5</f>
        <v/>
      </c>
      <c r="B4" s="59">
        <f>Profiles!B5</f>
        <v/>
      </c>
      <c r="C4" s="59">
        <f>Profiles!C5</f>
        <v/>
      </c>
      <c r="D4" s="59">
        <f>Profiles!D5</f>
        <v/>
      </c>
      <c r="E4" s="60">
        <f>IF(ISNUMBER(Profiles!E5),IF(ISNUMBER(Profiles!F5),MAX(0,1-(MAX(0,ABS('User Input'!$B$9-Profiles!E5)-Profiles!F5))/Profiles!F5/3),MAX(0,1-ABS('User Input'!$B$9-Profiles!E5)/(Profiles!E5*0.1)/3)),0.5)</f>
        <v/>
      </c>
      <c r="F4" s="60">
        <f>IF(ISNUMBER(Profiles!G5),IF(ISNUMBER(Profiles!H5),MAX(0,1-(MAX(0,ABS('User Input'!$B$10-Profiles!G5)-Profiles!H5))/Profiles!H5/3),MAX(0,1-ABS('User Input'!$B$10-Profiles!G5)/(Profiles!G5*0.15)/3)),0.5)</f>
        <v/>
      </c>
      <c r="G4" s="60">
        <f>IF(ISNUMBER(Profiles!J5),MAX(0,1-ABS('User Input'!$B$12-Profiles!J5)/5/3),0.5)</f>
        <v/>
      </c>
      <c r="H4" s="60">
        <f>IF(ISNUMBER(Profiles!K5),MAX(0,1-ABS('User Input'!$B$14-Profiles!K5)/0.03/3),"n/a")</f>
        <v/>
      </c>
      <c r="I4" s="61">
        <f>100*MAX(0,1-(MAX(0,Profiles!M5-'User Input'!$B$17)+0.5*MAX(0,'User Input'!$B$17-Profiles!M5)+MAX(0,Profiles!N5-'User Input'!$B$18)+0.5*MAX(0,'User Input'!$B$18-Profiles!N5)+MAX(0,Profiles!O5-'User Input'!$B$19)+0.5*MAX(0,'User Input'!$B$19-Profiles!O5)+MAX(0,Profiles!P5-'User Input'!$B$20)+0.5*MAX(0,'User Input'!$B$20-Profiles!P5)+MAX(0,Profiles!Q5-'User Input'!$B$21)+0.5*MAX(0,'User Input'!$B$21-Profiles!Q5)+MAX(0,Profiles!S5-'User Input'!$B$22)+0.5*MAX(0,'User Input'!$B$22-Profiles!S5)+MAX(0,Profiles!T5-'User Input'!$B$23)+0.5*MAX(0,'User Input'!$B$23-Profiles!T5)+MAX(0,Profiles!U5-'User Input'!$B$24)+0.5*MAX(0,'User Input'!$B$24-Profiles!U5))/40)</f>
        <v/>
      </c>
      <c r="J4" s="61">
        <f>ROUND(60*(E4+F4+G4+IFERROR(VALUE(H4),(E4+F4+G4)/3))/4 + 0.4*I4,1)</f>
        <v/>
      </c>
      <c r="K4" s="60">
        <f>IF(OR(AND('User Input'!$B$6="M",Profiles!$AG5="M"),AND('User Input'!$B$6="F",Profiles!$AG5="F")),1,0)</f>
        <v/>
      </c>
      <c r="L4" s="60">
        <f>IF('User Input'!$B$27="Either",(IF(Profiles!V5&gt;=4,1,0.3)+IF(OR(Profiles!V5&lt;=2,ISNUMBER(SEARCH("Individual",Profiles!D5))),1,0.3))/2,IF('User Input'!$B$27="Team",IF(Profiles!V5&gt;=4,1,0.3),IF(OR(Profiles!V5&lt;=2,ISNUMBER(SEARCH("Individual",Profiles!D5))),1,0.3)))</f>
        <v/>
      </c>
      <c r="M4" s="60">
        <f>IF(IFERROR(MATCH(Profiles!W5,{"None","Light","Medium","Heavy"},0)-1,0)&lt;=IFERROR(MATCH('User Input'!$B$28,{"None","Light","Medium","Heavy"},0)-1,3),1,MAX(0,1-0.4*(IFERROR(MATCH(Profiles!W5,{"None","Light","Medium","Heavy"},0)-1,0)-IFERROR(MATCH('User Input'!$B$28,{"None","Light","Medium","Heavy"},0)-1,3))))</f>
        <v/>
      </c>
      <c r="N4" s="60">
        <f>IF('User Input'!$B$29="neutral",1,IF('User Input'!$B$29="essential",IF(ISNUMBER(SEARCH("Outdoor",Profiles!X5)),1,0.3),IF('User Input'!$B$29="nice",IF(ISNUMBER(SEARCH("Outdoor",Profiles!X5)),1,0.65),IF('User Input'!$B$29="indoor",IF(ISNUMBER(SEARCH("Indoor",Profiles!X5)),1,0.4),1))))</f>
        <v/>
      </c>
      <c r="O4" s="60">
        <f>IF('User Input'!$B$30="Yes",1,IF(Profiles!Y5="Yes",0,1))</f>
        <v/>
      </c>
      <c r="P4" s="60">
        <f>IF(IFERROR(MATCH(Profiles!Z5,{"Low","Medium","High"},0),2)&lt;=IFERROR(MATCH('User Input'!$B$31,{"Low","Medium","High"},0),2),1,MAX(0,1-0.4*(IFERROR(MATCH(Profiles!Z5,{"Low","Medium","High"},0),2)-IFERROR(MATCH('User Input'!$B$31,{"Low","Medium","High"},0),2))))</f>
        <v/>
      </c>
      <c r="Q4" s="60">
        <f>IF('User Input'!$B$32="Yes",IF(ISNUMBER(Profiles!AC5),Profiles!AC5/10,0.5),1)</f>
        <v/>
      </c>
      <c r="R4" s="61">
        <f>IF(OR(K4=0,O4=0),0,ROUND(MIN(100,100*(K4*0.1+L4*0.2+M4*0.2+N4*0.1+P4*0.15+Q4*0.25)*W4*X4*Y4*Z4),1))</f>
        <v/>
      </c>
      <c r="S4" s="61">
        <f>IF(R4=0,0,ROUND(0.5*J4+0.5*R4,1))</f>
        <v/>
      </c>
      <c r="T4" s="36">
        <f>J4-ROW()/1000000</f>
        <v/>
      </c>
      <c r="U4" s="36">
        <f>R4-ROW()/1000000</f>
        <v/>
      </c>
      <c r="V4" s="36">
        <f>S4-ROW()/1000000</f>
        <v/>
      </c>
      <c r="W4" s="36">
        <f>IF(OR(AND(OR(Profiles!D5="Team field",Profiles!D5="Team field contact",Profiles!D5="Team field stick"),'User Input'!$B$34="Yes"),AND(OR(Profiles!D5="Team court",Profiles!D5="Team court contact"),'User Input'!$B$35="Yes"),AND(Profiles!D5="Individual racquet",'User Input'!$B$36="Yes"),AND(OR(Profiles!D5="Combat striking",Profiles!D5="Combat grappling",Profiles!D5="Combat mixed"),'User Input'!$B$37="Yes"),AND(OR(Profiles!D5="Team water contact",Profiles!D5="Individual water"),'User Input'!$B$38="Yes"),AND(OR(Profiles!D5="Endurance individual",Profiles!D5="Endurance individual / pair",Profiles!D5="Endurance individual / pursuit",Profiles!D5="Endurance team / pair",Profiles!D5="Endurance multi"),'User Input'!$B$39="Yes"),AND(OR(Profiles!D5="Strength individual",Profiles!D5="Power-throw individual"),'User Input'!$B$40="Yes"),AND(OR(Profiles!D5="Individual technical",Profiles!D5="Individual aesthetic",Profiles!D5="Team precision"),'User Input'!$B$41="Yes")),1.15,1)</f>
        <v/>
      </c>
      <c r="X4" s="36">
        <f>IF('User Input'!$B$33&lt;&gt;"none",1,IF(IFERROR(VALUE(TRIM(MID(SUBSTITUTE(SUBSTITUTE(Profiles!AA5,"–","-"),"-",REPT(" ",100)),100,100)))&lt;=14,FALSE),0.7,1))</f>
        <v/>
      </c>
      <c r="Y4" s="36">
        <f>IF(OR('User Input'!$B$42="under30",'User Input'!$B$42=""),1,IF('User Input'!$B$42="30to45",IF((IFERROR(MATCH(Profiles!W5,{"None","Light","Medium","Heavy"},0)-1,0)+IFERROR(MATCH(Profiles!AB5,{"Low","Medium","High"},0)-1,0))&gt;=5,0.85,1),IF('User Input'!$B$42="46to60",IF((IFERROR(MATCH(Profiles!W5,{"None","Light","Medium","Heavy"},0)-1,0)+IFERROR(MATCH(Profiles!AB5,{"Low","Medium","High"},0)-1,0))&gt;=5,0.65,IF((IFERROR(MATCH(Profiles!W5,{"None","Light","Medium","Heavy"},0)-1,0)+IFERROR(MATCH(Profiles!AB5,{"Low","Medium","High"},0)-1,0))&gt;=4,0.8,IF((IFERROR(MATCH(Profiles!W5,{"None","Light","Medium","Heavy"},0)-1,0)+IFERROR(MATCH(Profiles!AB5,{"Low","Medium","High"},0)-1,0))&gt;=3,0.9,1))),IF((IFERROR(MATCH(Profiles!W5,{"None","Light","Medium","Heavy"},0)-1,0)+IFERROR(MATCH(Profiles!AB5,{"Low","Medium","High"},0)-1,0))&gt;=5,0.4,IF((IFERROR(MATCH(Profiles!W5,{"None","Light","Medium","Heavy"},0)-1,0)+IFERROR(MATCH(Profiles!AB5,{"Low","Medium","High"},0)-1,0))&gt;=4,0.6,IF((IFERROR(MATCH(Profiles!W5,{"None","Light","Medium","Heavy"},0)-1,0)+IFERROR(MATCH(Profiles!AB5,{"Low","Medium","High"},0)-1,0))&gt;=3,0.75,IF((IFERROR(MATCH(Profiles!W5,{"None","Light","Medium","Heavy"},0)-1,0)+IFERROR(MATCH(Profiles!AB5,{"Low","Medium","High"},0)-1,0))&gt;=2,0.85,1)))))))</f>
        <v/>
      </c>
      <c r="Z4" s="36">
        <f>IF(OR('User Input'!$B$43="none",'User Input'!$B$43=""),1,IF('User Input'!$B$43="minor",IF(IFERROR(MATCH(Profiles!W5,{"None","Light","Medium","Heavy"},0)-1,0)&gt;=3,0.7,IF(IFERROR(MATCH(Profiles!W5,{"None","Light","Medium","Heavy"},0)-1,0)&gt;=2,0.85,1)),IF('User Input'!$B$43="joint",IF(OR(IFERROR(MATCH(Profiles!W5,{"None","Light","Medium","Heavy"},0)-1,0)&gt;=3,IFERROR(MATCH(Profiles!AB5,{"Low","Medium","High"},0)-1,0)&gt;=2),0.5,IF(OR(IFERROR(MATCH(Profiles!W5,{"None","Light","Medium","Heavy"},0)-1,0)&gt;=2,IFERROR(MATCH(Profiles!AB5,{"Low","Medium","High"},0)-1,0)&gt;=1),0.75,1)),IF(OR(IFERROR(MATCH(Profiles!W5,{"None","Light","Medium","Heavy"},0)-1,0)&gt;=2,IFERROR(MATCH(Profiles!AB5,{"Low","Medium","High"},0)-1,0)&gt;=2),0.3,IF(OR(IFERROR(MATCH(Profiles!W5,{"None","Light","Medium","Heavy"},0)-1,0)&gt;=1,IFERROR(MATCH(Profiles!AB5,{"Low","Medium","High"},0)-1,0)&gt;=1),0.6,0.9)))))</f>
        <v/>
      </c>
    </row>
    <row r="5" ht="15" customHeight="1" s="37">
      <c r="A5" s="59">
        <f>Profiles!A6</f>
        <v/>
      </c>
      <c r="B5" s="59">
        <f>Profiles!B6</f>
        <v/>
      </c>
      <c r="C5" s="59">
        <f>Profiles!C6</f>
        <v/>
      </c>
      <c r="D5" s="59">
        <f>Profiles!D6</f>
        <v/>
      </c>
      <c r="E5" s="60">
        <f>IF(ISNUMBER(Profiles!E6),IF(ISNUMBER(Profiles!F6),MAX(0,1-(MAX(0,ABS('User Input'!$B$9-Profiles!E6)-Profiles!F6))/Profiles!F6/3),MAX(0,1-ABS('User Input'!$B$9-Profiles!E6)/(Profiles!E6*0.1)/3)),0.5)</f>
        <v/>
      </c>
      <c r="F5" s="60">
        <f>IF(ISNUMBER(Profiles!G6),IF(ISNUMBER(Profiles!H6),MAX(0,1-(MAX(0,ABS('User Input'!$B$10-Profiles!G6)-Profiles!H6))/Profiles!H6/3),MAX(0,1-ABS('User Input'!$B$10-Profiles!G6)/(Profiles!G6*0.15)/3)),0.5)</f>
        <v/>
      </c>
      <c r="G5" s="60">
        <f>IF(ISNUMBER(Profiles!J6),MAX(0,1-ABS('User Input'!$B$12-Profiles!J6)/5/3),0.5)</f>
        <v/>
      </c>
      <c r="H5" s="60">
        <f>IF(ISNUMBER(Profiles!K6),MAX(0,1-ABS('User Input'!$B$14-Profiles!K6)/0.03/3),"n/a")</f>
        <v/>
      </c>
      <c r="I5" s="61">
        <f>100*MAX(0,1-(MAX(0,Profiles!M6-'User Input'!$B$17)+0.5*MAX(0,'User Input'!$B$17-Profiles!M6)+MAX(0,Profiles!N6-'User Input'!$B$18)+0.5*MAX(0,'User Input'!$B$18-Profiles!N6)+MAX(0,Profiles!O6-'User Input'!$B$19)+0.5*MAX(0,'User Input'!$B$19-Profiles!O6)+MAX(0,Profiles!P6-'User Input'!$B$20)+0.5*MAX(0,'User Input'!$B$20-Profiles!P6)+MAX(0,Profiles!Q6-'User Input'!$B$21)+0.5*MAX(0,'User Input'!$B$21-Profiles!Q6)+MAX(0,Profiles!S6-'User Input'!$B$22)+0.5*MAX(0,'User Input'!$B$22-Profiles!S6)+MAX(0,Profiles!T6-'User Input'!$B$23)+0.5*MAX(0,'User Input'!$B$23-Profiles!T6)+MAX(0,Profiles!U6-'User Input'!$B$24)+0.5*MAX(0,'User Input'!$B$24-Profiles!U6))/40)</f>
        <v/>
      </c>
      <c r="J5" s="61">
        <f>ROUND(60*(E5+F5+G5+IFERROR(VALUE(H5),(E5+F5+G5)/3))/4 + 0.4*I5,1)</f>
        <v/>
      </c>
      <c r="K5" s="60">
        <f>IF(OR(AND('User Input'!$B$6="M",Profiles!$AG6="M"),AND('User Input'!$B$6="F",Profiles!$AG6="F")),1,0)</f>
        <v/>
      </c>
      <c r="L5" s="60">
        <f>IF('User Input'!$B$27="Either",(IF(Profiles!V6&gt;=4,1,0.3)+IF(OR(Profiles!V6&lt;=2,ISNUMBER(SEARCH("Individual",Profiles!D6))),1,0.3))/2,IF('User Input'!$B$27="Team",IF(Profiles!V6&gt;=4,1,0.3),IF(OR(Profiles!V6&lt;=2,ISNUMBER(SEARCH("Individual",Profiles!D6))),1,0.3)))</f>
        <v/>
      </c>
      <c r="M5" s="60">
        <f>IF(IFERROR(MATCH(Profiles!W6,{"None","Light","Medium","Heavy"},0)-1,0)&lt;=IFERROR(MATCH('User Input'!$B$28,{"None","Light","Medium","Heavy"},0)-1,3),1,MAX(0,1-0.4*(IFERROR(MATCH(Profiles!W6,{"None","Light","Medium","Heavy"},0)-1,0)-IFERROR(MATCH('User Input'!$B$28,{"None","Light","Medium","Heavy"},0)-1,3))))</f>
        <v/>
      </c>
      <c r="N5" s="60">
        <f>IF('User Input'!$B$29="neutral",1,IF('User Input'!$B$29="essential",IF(ISNUMBER(SEARCH("Outdoor",Profiles!X6)),1,0.3),IF('User Input'!$B$29="nice",IF(ISNUMBER(SEARCH("Outdoor",Profiles!X6)),1,0.65),IF('User Input'!$B$29="indoor",IF(ISNUMBER(SEARCH("Indoor",Profiles!X6)),1,0.4),1))))</f>
        <v/>
      </c>
      <c r="O5" s="60">
        <f>IF('User Input'!$B$30="Yes",1,IF(Profiles!Y6="Yes",0,1))</f>
        <v/>
      </c>
      <c r="P5" s="60">
        <f>IF(IFERROR(MATCH(Profiles!Z6,{"Low","Medium","High"},0),2)&lt;=IFERROR(MATCH('User Input'!$B$31,{"Low","Medium","High"},0),2),1,MAX(0,1-0.4*(IFERROR(MATCH(Profiles!Z6,{"Low","Medium","High"},0),2)-IFERROR(MATCH('User Input'!$B$31,{"Low","Medium","High"},0),2))))</f>
        <v/>
      </c>
      <c r="Q5" s="60">
        <f>IF('User Input'!$B$32="Yes",IF(ISNUMBER(Profiles!AC6),Profiles!AC6/10,0.5),1)</f>
        <v/>
      </c>
      <c r="R5" s="61">
        <f>IF(OR(K5=0,O5=0),0,ROUND(MIN(100,100*(K5*0.1+L5*0.2+M5*0.2+N5*0.1+P5*0.15+Q5*0.25)*W5*X5*Y5*Z5),1))</f>
        <v/>
      </c>
      <c r="S5" s="61">
        <f>IF(R5=0,0,ROUND(0.5*J5+0.5*R5,1))</f>
        <v/>
      </c>
      <c r="T5" s="36">
        <f>J5-ROW()/1000000</f>
        <v/>
      </c>
      <c r="U5" s="36">
        <f>R5-ROW()/1000000</f>
        <v/>
      </c>
      <c r="V5" s="36">
        <f>S5-ROW()/1000000</f>
        <v/>
      </c>
      <c r="W5" s="36">
        <f>IF(OR(AND(OR(Profiles!D6="Team field",Profiles!D6="Team field contact",Profiles!D6="Team field stick"),'User Input'!$B$34="Yes"),AND(OR(Profiles!D6="Team court",Profiles!D6="Team court contact"),'User Input'!$B$35="Yes"),AND(Profiles!D6="Individual racquet",'User Input'!$B$36="Yes"),AND(OR(Profiles!D6="Combat striking",Profiles!D6="Combat grappling",Profiles!D6="Combat mixed"),'User Input'!$B$37="Yes"),AND(OR(Profiles!D6="Team water contact",Profiles!D6="Individual water"),'User Input'!$B$38="Yes"),AND(OR(Profiles!D6="Endurance individual",Profiles!D6="Endurance individual / pair",Profiles!D6="Endurance individual / pursuit",Profiles!D6="Endurance team / pair",Profiles!D6="Endurance multi"),'User Input'!$B$39="Yes"),AND(OR(Profiles!D6="Strength individual",Profiles!D6="Power-throw individual"),'User Input'!$B$40="Yes"),AND(OR(Profiles!D6="Individual technical",Profiles!D6="Individual aesthetic",Profiles!D6="Team precision"),'User Input'!$B$41="Yes")),1.15,1)</f>
        <v/>
      </c>
      <c r="X5" s="36">
        <f>IF('User Input'!$B$33&lt;&gt;"none",1,IF(IFERROR(VALUE(TRIM(MID(SUBSTITUTE(SUBSTITUTE(Profiles!AA6,"–","-"),"-",REPT(" ",100)),100,100)))&lt;=14,FALSE),0.7,1))</f>
        <v/>
      </c>
      <c r="Y5" s="36">
        <f>IF(OR('User Input'!$B$42="under30",'User Input'!$B$42=""),1,IF('User Input'!$B$42="30to45",IF((IFERROR(MATCH(Profiles!W6,{"None","Light","Medium","Heavy"},0)-1,0)+IFERROR(MATCH(Profiles!AB6,{"Low","Medium","High"},0)-1,0))&gt;=5,0.85,1),IF('User Input'!$B$42="46to60",IF((IFERROR(MATCH(Profiles!W6,{"None","Light","Medium","Heavy"},0)-1,0)+IFERROR(MATCH(Profiles!AB6,{"Low","Medium","High"},0)-1,0))&gt;=5,0.65,IF((IFERROR(MATCH(Profiles!W6,{"None","Light","Medium","Heavy"},0)-1,0)+IFERROR(MATCH(Profiles!AB6,{"Low","Medium","High"},0)-1,0))&gt;=4,0.8,IF((IFERROR(MATCH(Profiles!W6,{"None","Light","Medium","Heavy"},0)-1,0)+IFERROR(MATCH(Profiles!AB6,{"Low","Medium","High"},0)-1,0))&gt;=3,0.9,1))),IF((IFERROR(MATCH(Profiles!W6,{"None","Light","Medium","Heavy"},0)-1,0)+IFERROR(MATCH(Profiles!AB6,{"Low","Medium","High"},0)-1,0))&gt;=5,0.4,IF((IFERROR(MATCH(Profiles!W6,{"None","Light","Medium","Heavy"},0)-1,0)+IFERROR(MATCH(Profiles!AB6,{"Low","Medium","High"},0)-1,0))&gt;=4,0.6,IF((IFERROR(MATCH(Profiles!W6,{"None","Light","Medium","Heavy"},0)-1,0)+IFERROR(MATCH(Profiles!AB6,{"Low","Medium","High"},0)-1,0))&gt;=3,0.75,IF((IFERROR(MATCH(Profiles!W6,{"None","Light","Medium","Heavy"},0)-1,0)+IFERROR(MATCH(Profiles!AB6,{"Low","Medium","High"},0)-1,0))&gt;=2,0.85,1)))))))</f>
        <v/>
      </c>
      <c r="Z5" s="36">
        <f>IF(OR('User Input'!$B$43="none",'User Input'!$B$43=""),1,IF('User Input'!$B$43="minor",IF(IFERROR(MATCH(Profiles!W6,{"None","Light","Medium","Heavy"},0)-1,0)&gt;=3,0.7,IF(IFERROR(MATCH(Profiles!W6,{"None","Light","Medium","Heavy"},0)-1,0)&gt;=2,0.85,1)),IF('User Input'!$B$43="joint",IF(OR(IFERROR(MATCH(Profiles!W6,{"None","Light","Medium","Heavy"},0)-1,0)&gt;=3,IFERROR(MATCH(Profiles!AB6,{"Low","Medium","High"},0)-1,0)&gt;=2),0.5,IF(OR(IFERROR(MATCH(Profiles!W6,{"None","Light","Medium","Heavy"},0)-1,0)&gt;=2,IFERROR(MATCH(Profiles!AB6,{"Low","Medium","High"},0)-1,0)&gt;=1),0.75,1)),IF(OR(IFERROR(MATCH(Profiles!W6,{"None","Light","Medium","Heavy"},0)-1,0)&gt;=2,IFERROR(MATCH(Profiles!AB6,{"Low","Medium","High"},0)-1,0)&gt;=2),0.3,IF(OR(IFERROR(MATCH(Profiles!W6,{"None","Light","Medium","Heavy"},0)-1,0)&gt;=1,IFERROR(MATCH(Profiles!AB6,{"Low","Medium","High"},0)-1,0)&gt;=1),0.6,0.9)))))</f>
        <v/>
      </c>
    </row>
    <row r="6" ht="15" customHeight="1" s="37">
      <c r="A6" s="59">
        <f>Profiles!A7</f>
        <v/>
      </c>
      <c r="B6" s="59">
        <f>Profiles!B7</f>
        <v/>
      </c>
      <c r="C6" s="59">
        <f>Profiles!C7</f>
        <v/>
      </c>
      <c r="D6" s="59">
        <f>Profiles!D7</f>
        <v/>
      </c>
      <c r="E6" s="60">
        <f>IF(ISNUMBER(Profiles!E7),IF(ISNUMBER(Profiles!F7),MAX(0,1-(MAX(0,ABS('User Input'!$B$9-Profiles!E7)-Profiles!F7))/Profiles!F7/3),MAX(0,1-ABS('User Input'!$B$9-Profiles!E7)/(Profiles!E7*0.1)/3)),0.5)</f>
        <v/>
      </c>
      <c r="F6" s="60">
        <f>IF(ISNUMBER(Profiles!G7),IF(ISNUMBER(Profiles!H7),MAX(0,1-(MAX(0,ABS('User Input'!$B$10-Profiles!G7)-Profiles!H7))/Profiles!H7/3),MAX(0,1-ABS('User Input'!$B$10-Profiles!G7)/(Profiles!G7*0.15)/3)),0.5)</f>
        <v/>
      </c>
      <c r="G6" s="60">
        <f>IF(ISNUMBER(Profiles!J7),MAX(0,1-ABS('User Input'!$B$12-Profiles!J7)/5/3),0.5)</f>
        <v/>
      </c>
      <c r="H6" s="60">
        <f>IF(ISNUMBER(Profiles!K7),MAX(0,1-ABS('User Input'!$B$14-Profiles!K7)/0.03/3),"n/a")</f>
        <v/>
      </c>
      <c r="I6" s="61">
        <f>100*MAX(0,1-(MAX(0,Profiles!M7-'User Input'!$B$17)+0.5*MAX(0,'User Input'!$B$17-Profiles!M7)+MAX(0,Profiles!N7-'User Input'!$B$18)+0.5*MAX(0,'User Input'!$B$18-Profiles!N7)+MAX(0,Profiles!O7-'User Input'!$B$19)+0.5*MAX(0,'User Input'!$B$19-Profiles!O7)+MAX(0,Profiles!P7-'User Input'!$B$20)+0.5*MAX(0,'User Input'!$B$20-Profiles!P7)+MAX(0,Profiles!Q7-'User Input'!$B$21)+0.5*MAX(0,'User Input'!$B$21-Profiles!Q7)+MAX(0,Profiles!S7-'User Input'!$B$22)+0.5*MAX(0,'User Input'!$B$22-Profiles!S7)+MAX(0,Profiles!T7-'User Input'!$B$23)+0.5*MAX(0,'User Input'!$B$23-Profiles!T7)+MAX(0,Profiles!U7-'User Input'!$B$24)+0.5*MAX(0,'User Input'!$B$24-Profiles!U7))/40)</f>
        <v/>
      </c>
      <c r="J6" s="61">
        <f>ROUND(60*(E6+F6+G6+IFERROR(VALUE(H6),(E6+F6+G6)/3))/4 + 0.4*I6,1)</f>
        <v/>
      </c>
      <c r="K6" s="60">
        <f>IF(OR(AND('User Input'!$B$6="M",Profiles!$AG7="M"),AND('User Input'!$B$6="F",Profiles!$AG7="F")),1,0)</f>
        <v/>
      </c>
      <c r="L6" s="60">
        <f>IF('User Input'!$B$27="Either",(IF(Profiles!V7&gt;=4,1,0.3)+IF(OR(Profiles!V7&lt;=2,ISNUMBER(SEARCH("Individual",Profiles!D7))),1,0.3))/2,IF('User Input'!$B$27="Team",IF(Profiles!V7&gt;=4,1,0.3),IF(OR(Profiles!V7&lt;=2,ISNUMBER(SEARCH("Individual",Profiles!D7))),1,0.3)))</f>
        <v/>
      </c>
      <c r="M6" s="60">
        <f>IF(IFERROR(MATCH(Profiles!W7,{"None","Light","Medium","Heavy"},0)-1,0)&lt;=IFERROR(MATCH('User Input'!$B$28,{"None","Light","Medium","Heavy"},0)-1,3),1,MAX(0,1-0.4*(IFERROR(MATCH(Profiles!W7,{"None","Light","Medium","Heavy"},0)-1,0)-IFERROR(MATCH('User Input'!$B$28,{"None","Light","Medium","Heavy"},0)-1,3))))</f>
        <v/>
      </c>
      <c r="N6" s="60">
        <f>IF('User Input'!$B$29="neutral",1,IF('User Input'!$B$29="essential",IF(ISNUMBER(SEARCH("Outdoor",Profiles!X7)),1,0.3),IF('User Input'!$B$29="nice",IF(ISNUMBER(SEARCH("Outdoor",Profiles!X7)),1,0.65),IF('User Input'!$B$29="indoor",IF(ISNUMBER(SEARCH("Indoor",Profiles!X7)),1,0.4),1))))</f>
        <v/>
      </c>
      <c r="O6" s="60">
        <f>IF('User Input'!$B$30="Yes",1,IF(Profiles!Y7="Yes",0,1))</f>
        <v/>
      </c>
      <c r="P6" s="60">
        <f>IF(IFERROR(MATCH(Profiles!Z7,{"Low","Medium","High"},0),2)&lt;=IFERROR(MATCH('User Input'!$B$31,{"Low","Medium","High"},0),2),1,MAX(0,1-0.4*(IFERROR(MATCH(Profiles!Z7,{"Low","Medium","High"},0),2)-IFERROR(MATCH('User Input'!$B$31,{"Low","Medium","High"},0),2))))</f>
        <v/>
      </c>
      <c r="Q6" s="60">
        <f>IF('User Input'!$B$32="Yes",IF(ISNUMBER(Profiles!AC7),Profiles!AC7/10,0.5),1)</f>
        <v/>
      </c>
      <c r="R6" s="61">
        <f>IF(OR(K6=0,O6=0),0,ROUND(MIN(100,100*(K6*0.1+L6*0.2+M6*0.2+N6*0.1+P6*0.15+Q6*0.25)*W6*X6*Y6*Z6),1))</f>
        <v/>
      </c>
      <c r="S6" s="61">
        <f>IF(R6=0,0,ROUND(0.5*J6+0.5*R6,1))</f>
        <v/>
      </c>
      <c r="T6" s="36">
        <f>J6-ROW()/1000000</f>
        <v/>
      </c>
      <c r="U6" s="36">
        <f>R6-ROW()/1000000</f>
        <v/>
      </c>
      <c r="V6" s="36">
        <f>S6-ROW()/1000000</f>
        <v/>
      </c>
      <c r="W6" s="36">
        <f>IF(OR(AND(OR(Profiles!D7="Team field",Profiles!D7="Team field contact",Profiles!D7="Team field stick"),'User Input'!$B$34="Yes"),AND(OR(Profiles!D7="Team court",Profiles!D7="Team court contact"),'User Input'!$B$35="Yes"),AND(Profiles!D7="Individual racquet",'User Input'!$B$36="Yes"),AND(OR(Profiles!D7="Combat striking",Profiles!D7="Combat grappling",Profiles!D7="Combat mixed"),'User Input'!$B$37="Yes"),AND(OR(Profiles!D7="Team water contact",Profiles!D7="Individual water"),'User Input'!$B$38="Yes"),AND(OR(Profiles!D7="Endurance individual",Profiles!D7="Endurance individual / pair",Profiles!D7="Endurance individual / pursuit",Profiles!D7="Endurance team / pair",Profiles!D7="Endurance multi"),'User Input'!$B$39="Yes"),AND(OR(Profiles!D7="Strength individual",Profiles!D7="Power-throw individual"),'User Input'!$B$40="Yes"),AND(OR(Profiles!D7="Individual technical",Profiles!D7="Individual aesthetic",Profiles!D7="Team precision"),'User Input'!$B$41="Yes")),1.15,1)</f>
        <v/>
      </c>
      <c r="X6" s="36">
        <f>IF('User Input'!$B$33&lt;&gt;"none",1,IF(IFERROR(VALUE(TRIM(MID(SUBSTITUTE(SUBSTITUTE(Profiles!AA7,"–","-"),"-",REPT(" ",100)),100,100)))&lt;=14,FALSE),0.7,1))</f>
        <v/>
      </c>
      <c r="Y6" s="36">
        <f>IF(OR('User Input'!$B$42="under30",'User Input'!$B$42=""),1,IF('User Input'!$B$42="30to45",IF((IFERROR(MATCH(Profiles!W7,{"None","Light","Medium","Heavy"},0)-1,0)+IFERROR(MATCH(Profiles!AB7,{"Low","Medium","High"},0)-1,0))&gt;=5,0.85,1),IF('User Input'!$B$42="46to60",IF((IFERROR(MATCH(Profiles!W7,{"None","Light","Medium","Heavy"},0)-1,0)+IFERROR(MATCH(Profiles!AB7,{"Low","Medium","High"},0)-1,0))&gt;=5,0.65,IF((IFERROR(MATCH(Profiles!W7,{"None","Light","Medium","Heavy"},0)-1,0)+IFERROR(MATCH(Profiles!AB7,{"Low","Medium","High"},0)-1,0))&gt;=4,0.8,IF((IFERROR(MATCH(Profiles!W7,{"None","Light","Medium","Heavy"},0)-1,0)+IFERROR(MATCH(Profiles!AB7,{"Low","Medium","High"},0)-1,0))&gt;=3,0.9,1))),IF((IFERROR(MATCH(Profiles!W7,{"None","Light","Medium","Heavy"},0)-1,0)+IFERROR(MATCH(Profiles!AB7,{"Low","Medium","High"},0)-1,0))&gt;=5,0.4,IF((IFERROR(MATCH(Profiles!W7,{"None","Light","Medium","Heavy"},0)-1,0)+IFERROR(MATCH(Profiles!AB7,{"Low","Medium","High"},0)-1,0))&gt;=4,0.6,IF((IFERROR(MATCH(Profiles!W7,{"None","Light","Medium","Heavy"},0)-1,0)+IFERROR(MATCH(Profiles!AB7,{"Low","Medium","High"},0)-1,0))&gt;=3,0.75,IF((IFERROR(MATCH(Profiles!W7,{"None","Light","Medium","Heavy"},0)-1,0)+IFERROR(MATCH(Profiles!AB7,{"Low","Medium","High"},0)-1,0))&gt;=2,0.85,1)))))))</f>
        <v/>
      </c>
      <c r="Z6" s="36">
        <f>IF(OR('User Input'!$B$43="none",'User Input'!$B$43=""),1,IF('User Input'!$B$43="minor",IF(IFERROR(MATCH(Profiles!W7,{"None","Light","Medium","Heavy"},0)-1,0)&gt;=3,0.7,IF(IFERROR(MATCH(Profiles!W7,{"None","Light","Medium","Heavy"},0)-1,0)&gt;=2,0.85,1)),IF('User Input'!$B$43="joint",IF(OR(IFERROR(MATCH(Profiles!W7,{"None","Light","Medium","Heavy"},0)-1,0)&gt;=3,IFERROR(MATCH(Profiles!AB7,{"Low","Medium","High"},0)-1,0)&gt;=2),0.5,IF(OR(IFERROR(MATCH(Profiles!W7,{"None","Light","Medium","Heavy"},0)-1,0)&gt;=2,IFERROR(MATCH(Profiles!AB7,{"Low","Medium","High"},0)-1,0)&gt;=1),0.75,1)),IF(OR(IFERROR(MATCH(Profiles!W7,{"None","Light","Medium","Heavy"},0)-1,0)&gt;=2,IFERROR(MATCH(Profiles!AB7,{"Low","Medium","High"},0)-1,0)&gt;=2),0.3,IF(OR(IFERROR(MATCH(Profiles!W7,{"None","Light","Medium","Heavy"},0)-1,0)&gt;=1,IFERROR(MATCH(Profiles!AB7,{"Low","Medium","High"},0)-1,0)&gt;=1),0.6,0.9)))))</f>
        <v/>
      </c>
    </row>
    <row r="7" ht="15" customHeight="1" s="37">
      <c r="A7" s="59">
        <f>Profiles!A8</f>
        <v/>
      </c>
      <c r="B7" s="59">
        <f>Profiles!B8</f>
        <v/>
      </c>
      <c r="C7" s="59">
        <f>Profiles!C8</f>
        <v/>
      </c>
      <c r="D7" s="59">
        <f>Profiles!D8</f>
        <v/>
      </c>
      <c r="E7" s="60">
        <f>IF(ISNUMBER(Profiles!E8),IF(ISNUMBER(Profiles!F8),MAX(0,1-(MAX(0,ABS('User Input'!$B$9-Profiles!E8)-Profiles!F8))/Profiles!F8/3),MAX(0,1-ABS('User Input'!$B$9-Profiles!E8)/(Profiles!E8*0.1)/3)),0.5)</f>
        <v/>
      </c>
      <c r="F7" s="60">
        <f>IF(ISNUMBER(Profiles!G8),IF(ISNUMBER(Profiles!H8),MAX(0,1-(MAX(0,ABS('User Input'!$B$10-Profiles!G8)-Profiles!H8))/Profiles!H8/3),MAX(0,1-ABS('User Input'!$B$10-Profiles!G8)/(Profiles!G8*0.15)/3)),0.5)</f>
        <v/>
      </c>
      <c r="G7" s="60">
        <f>IF(ISNUMBER(Profiles!J8),MAX(0,1-ABS('User Input'!$B$12-Profiles!J8)/5/3),0.5)</f>
        <v/>
      </c>
      <c r="H7" s="60">
        <f>IF(ISNUMBER(Profiles!K8),MAX(0,1-ABS('User Input'!$B$14-Profiles!K8)/0.03/3),"n/a")</f>
        <v/>
      </c>
      <c r="I7" s="61">
        <f>100*MAX(0,1-(MAX(0,Profiles!M8-'User Input'!$B$17)+0.5*MAX(0,'User Input'!$B$17-Profiles!M8)+MAX(0,Profiles!N8-'User Input'!$B$18)+0.5*MAX(0,'User Input'!$B$18-Profiles!N8)+MAX(0,Profiles!O8-'User Input'!$B$19)+0.5*MAX(0,'User Input'!$B$19-Profiles!O8)+MAX(0,Profiles!P8-'User Input'!$B$20)+0.5*MAX(0,'User Input'!$B$20-Profiles!P8)+MAX(0,Profiles!Q8-'User Input'!$B$21)+0.5*MAX(0,'User Input'!$B$21-Profiles!Q8)+MAX(0,Profiles!S8-'User Input'!$B$22)+0.5*MAX(0,'User Input'!$B$22-Profiles!S8)+MAX(0,Profiles!T8-'User Input'!$B$23)+0.5*MAX(0,'User Input'!$B$23-Profiles!T8)+MAX(0,Profiles!U8-'User Input'!$B$24)+0.5*MAX(0,'User Input'!$B$24-Profiles!U8))/40)</f>
        <v/>
      </c>
      <c r="J7" s="61">
        <f>ROUND(60*(E7+F7+G7+IFERROR(VALUE(H7),(E7+F7+G7)/3))/4 + 0.4*I7,1)</f>
        <v/>
      </c>
      <c r="K7" s="60">
        <f>IF(OR(AND('User Input'!$B$6="M",Profiles!$AG8="M"),AND('User Input'!$B$6="F",Profiles!$AG8="F")),1,0)</f>
        <v/>
      </c>
      <c r="L7" s="60">
        <f>IF('User Input'!$B$27="Either",(IF(Profiles!V8&gt;=4,1,0.3)+IF(OR(Profiles!V8&lt;=2,ISNUMBER(SEARCH("Individual",Profiles!D8))),1,0.3))/2,IF('User Input'!$B$27="Team",IF(Profiles!V8&gt;=4,1,0.3),IF(OR(Profiles!V8&lt;=2,ISNUMBER(SEARCH("Individual",Profiles!D8))),1,0.3)))</f>
        <v/>
      </c>
      <c r="M7" s="60">
        <f>IF(IFERROR(MATCH(Profiles!W8,{"None","Light","Medium","Heavy"},0)-1,0)&lt;=IFERROR(MATCH('User Input'!$B$28,{"None","Light","Medium","Heavy"},0)-1,3),1,MAX(0,1-0.4*(IFERROR(MATCH(Profiles!W8,{"None","Light","Medium","Heavy"},0)-1,0)-IFERROR(MATCH('User Input'!$B$28,{"None","Light","Medium","Heavy"},0)-1,3))))</f>
        <v/>
      </c>
      <c r="N7" s="60">
        <f>IF('User Input'!$B$29="neutral",1,IF('User Input'!$B$29="essential",IF(ISNUMBER(SEARCH("Outdoor",Profiles!X8)),1,0.3),IF('User Input'!$B$29="nice",IF(ISNUMBER(SEARCH("Outdoor",Profiles!X8)),1,0.65),IF('User Input'!$B$29="indoor",IF(ISNUMBER(SEARCH("Indoor",Profiles!X8)),1,0.4),1))))</f>
        <v/>
      </c>
      <c r="O7" s="60">
        <f>IF('User Input'!$B$30="Yes",1,IF(Profiles!Y8="Yes",0,1))</f>
        <v/>
      </c>
      <c r="P7" s="60">
        <f>IF(IFERROR(MATCH(Profiles!Z8,{"Low","Medium","High"},0),2)&lt;=IFERROR(MATCH('User Input'!$B$31,{"Low","Medium","High"},0),2),1,MAX(0,1-0.4*(IFERROR(MATCH(Profiles!Z8,{"Low","Medium","High"},0),2)-IFERROR(MATCH('User Input'!$B$31,{"Low","Medium","High"},0),2))))</f>
        <v/>
      </c>
      <c r="Q7" s="60">
        <f>IF('User Input'!$B$32="Yes",IF(ISNUMBER(Profiles!AC8),Profiles!AC8/10,0.5),1)</f>
        <v/>
      </c>
      <c r="R7" s="61">
        <f>IF(OR(K7=0,O7=0),0,ROUND(MIN(100,100*(K7*0.1+L7*0.2+M7*0.2+N7*0.1+P7*0.15+Q7*0.25)*W7*X7*Y7*Z7),1))</f>
        <v/>
      </c>
      <c r="S7" s="61">
        <f>IF(R7=0,0,ROUND(0.5*J7+0.5*R7,1))</f>
        <v/>
      </c>
      <c r="T7" s="36">
        <f>J7-ROW()/1000000</f>
        <v/>
      </c>
      <c r="U7" s="36">
        <f>R7-ROW()/1000000</f>
        <v/>
      </c>
      <c r="V7" s="36">
        <f>S7-ROW()/1000000</f>
        <v/>
      </c>
      <c r="W7" s="36">
        <f>IF(OR(AND(OR(Profiles!D8="Team field",Profiles!D8="Team field contact",Profiles!D8="Team field stick"),'User Input'!$B$34="Yes"),AND(OR(Profiles!D8="Team court",Profiles!D8="Team court contact"),'User Input'!$B$35="Yes"),AND(Profiles!D8="Individual racquet",'User Input'!$B$36="Yes"),AND(OR(Profiles!D8="Combat striking",Profiles!D8="Combat grappling",Profiles!D8="Combat mixed"),'User Input'!$B$37="Yes"),AND(OR(Profiles!D8="Team water contact",Profiles!D8="Individual water"),'User Input'!$B$38="Yes"),AND(OR(Profiles!D8="Endurance individual",Profiles!D8="Endurance individual / pair",Profiles!D8="Endurance individual / pursuit",Profiles!D8="Endurance team / pair",Profiles!D8="Endurance multi"),'User Input'!$B$39="Yes"),AND(OR(Profiles!D8="Strength individual",Profiles!D8="Power-throw individual"),'User Input'!$B$40="Yes"),AND(OR(Profiles!D8="Individual technical",Profiles!D8="Individual aesthetic",Profiles!D8="Team precision"),'User Input'!$B$41="Yes")),1.15,1)</f>
        <v/>
      </c>
      <c r="X7" s="36">
        <f>IF('User Input'!$B$33&lt;&gt;"none",1,IF(IFERROR(VALUE(TRIM(MID(SUBSTITUTE(SUBSTITUTE(Profiles!AA8,"–","-"),"-",REPT(" ",100)),100,100)))&lt;=14,FALSE),0.7,1))</f>
        <v/>
      </c>
      <c r="Y7" s="36">
        <f>IF(OR('User Input'!$B$42="under30",'User Input'!$B$42=""),1,IF('User Input'!$B$42="30to45",IF((IFERROR(MATCH(Profiles!W8,{"None","Light","Medium","Heavy"},0)-1,0)+IFERROR(MATCH(Profiles!AB8,{"Low","Medium","High"},0)-1,0))&gt;=5,0.85,1),IF('User Input'!$B$42="46to60",IF((IFERROR(MATCH(Profiles!W8,{"None","Light","Medium","Heavy"},0)-1,0)+IFERROR(MATCH(Profiles!AB8,{"Low","Medium","High"},0)-1,0))&gt;=5,0.65,IF((IFERROR(MATCH(Profiles!W8,{"None","Light","Medium","Heavy"},0)-1,0)+IFERROR(MATCH(Profiles!AB8,{"Low","Medium","High"},0)-1,0))&gt;=4,0.8,IF((IFERROR(MATCH(Profiles!W8,{"None","Light","Medium","Heavy"},0)-1,0)+IFERROR(MATCH(Profiles!AB8,{"Low","Medium","High"},0)-1,0))&gt;=3,0.9,1))),IF((IFERROR(MATCH(Profiles!W8,{"None","Light","Medium","Heavy"},0)-1,0)+IFERROR(MATCH(Profiles!AB8,{"Low","Medium","High"},0)-1,0))&gt;=5,0.4,IF((IFERROR(MATCH(Profiles!W8,{"None","Light","Medium","Heavy"},0)-1,0)+IFERROR(MATCH(Profiles!AB8,{"Low","Medium","High"},0)-1,0))&gt;=4,0.6,IF((IFERROR(MATCH(Profiles!W8,{"None","Light","Medium","Heavy"},0)-1,0)+IFERROR(MATCH(Profiles!AB8,{"Low","Medium","High"},0)-1,0))&gt;=3,0.75,IF((IFERROR(MATCH(Profiles!W8,{"None","Light","Medium","Heavy"},0)-1,0)+IFERROR(MATCH(Profiles!AB8,{"Low","Medium","High"},0)-1,0))&gt;=2,0.85,1)))))))</f>
        <v/>
      </c>
      <c r="Z7" s="36">
        <f>IF(OR('User Input'!$B$43="none",'User Input'!$B$43=""),1,IF('User Input'!$B$43="minor",IF(IFERROR(MATCH(Profiles!W8,{"None","Light","Medium","Heavy"},0)-1,0)&gt;=3,0.7,IF(IFERROR(MATCH(Profiles!W8,{"None","Light","Medium","Heavy"},0)-1,0)&gt;=2,0.85,1)),IF('User Input'!$B$43="joint",IF(OR(IFERROR(MATCH(Profiles!W8,{"None","Light","Medium","Heavy"},0)-1,0)&gt;=3,IFERROR(MATCH(Profiles!AB8,{"Low","Medium","High"},0)-1,0)&gt;=2),0.5,IF(OR(IFERROR(MATCH(Profiles!W8,{"None","Light","Medium","Heavy"},0)-1,0)&gt;=2,IFERROR(MATCH(Profiles!AB8,{"Low","Medium","High"},0)-1,0)&gt;=1),0.75,1)),IF(OR(IFERROR(MATCH(Profiles!W8,{"None","Light","Medium","Heavy"},0)-1,0)&gt;=2,IFERROR(MATCH(Profiles!AB8,{"Low","Medium","High"},0)-1,0)&gt;=2),0.3,IF(OR(IFERROR(MATCH(Profiles!W8,{"None","Light","Medium","Heavy"},0)-1,0)&gt;=1,IFERROR(MATCH(Profiles!AB8,{"Low","Medium","High"},0)-1,0)&gt;=1),0.6,0.9)))))</f>
        <v/>
      </c>
    </row>
    <row r="8" ht="15" customHeight="1" s="37">
      <c r="A8" s="59">
        <f>Profiles!A9</f>
        <v/>
      </c>
      <c r="B8" s="59">
        <f>Profiles!B9</f>
        <v/>
      </c>
      <c r="C8" s="59">
        <f>Profiles!C9</f>
        <v/>
      </c>
      <c r="D8" s="59">
        <f>Profiles!D9</f>
        <v/>
      </c>
      <c r="E8" s="60">
        <f>IF(ISNUMBER(Profiles!E9),IF(ISNUMBER(Profiles!F9),MAX(0,1-(MAX(0,ABS('User Input'!$B$9-Profiles!E9)-Profiles!F9))/Profiles!F9/3),MAX(0,1-ABS('User Input'!$B$9-Profiles!E9)/(Profiles!E9*0.1)/3)),0.5)</f>
        <v/>
      </c>
      <c r="F8" s="60">
        <f>IF(ISNUMBER(Profiles!G9),IF(ISNUMBER(Profiles!H9),MAX(0,1-(MAX(0,ABS('User Input'!$B$10-Profiles!G9)-Profiles!H9))/Profiles!H9/3),MAX(0,1-ABS('User Input'!$B$10-Profiles!G9)/(Profiles!G9*0.15)/3)),0.5)</f>
        <v/>
      </c>
      <c r="G8" s="60">
        <f>IF(ISNUMBER(Profiles!J9),MAX(0,1-ABS('User Input'!$B$12-Profiles!J9)/5/3),0.5)</f>
        <v/>
      </c>
      <c r="H8" s="60">
        <f>IF(ISNUMBER(Profiles!K9),MAX(0,1-ABS('User Input'!$B$14-Profiles!K9)/0.03/3),"n/a")</f>
        <v/>
      </c>
      <c r="I8" s="61">
        <f>100*MAX(0,1-(MAX(0,Profiles!M9-'User Input'!$B$17)+0.5*MAX(0,'User Input'!$B$17-Profiles!M9)+MAX(0,Profiles!N9-'User Input'!$B$18)+0.5*MAX(0,'User Input'!$B$18-Profiles!N9)+MAX(0,Profiles!O9-'User Input'!$B$19)+0.5*MAX(0,'User Input'!$B$19-Profiles!O9)+MAX(0,Profiles!P9-'User Input'!$B$20)+0.5*MAX(0,'User Input'!$B$20-Profiles!P9)+MAX(0,Profiles!Q9-'User Input'!$B$21)+0.5*MAX(0,'User Input'!$B$21-Profiles!Q9)+MAX(0,Profiles!S9-'User Input'!$B$22)+0.5*MAX(0,'User Input'!$B$22-Profiles!S9)+MAX(0,Profiles!T9-'User Input'!$B$23)+0.5*MAX(0,'User Input'!$B$23-Profiles!T9)+MAX(0,Profiles!U9-'User Input'!$B$24)+0.5*MAX(0,'User Input'!$B$24-Profiles!U9))/40)</f>
        <v/>
      </c>
      <c r="J8" s="61">
        <f>ROUND(60*(E8+F8+G8+IFERROR(VALUE(H8),(E8+F8+G8)/3))/4 + 0.4*I8,1)</f>
        <v/>
      </c>
      <c r="K8" s="60">
        <f>IF(OR(AND('User Input'!$B$6="M",Profiles!$AG9="M"),AND('User Input'!$B$6="F",Profiles!$AG9="F")),1,0)</f>
        <v/>
      </c>
      <c r="L8" s="60">
        <f>IF('User Input'!$B$27="Either",(IF(Profiles!V9&gt;=4,1,0.3)+IF(OR(Profiles!V9&lt;=2,ISNUMBER(SEARCH("Individual",Profiles!D9))),1,0.3))/2,IF('User Input'!$B$27="Team",IF(Profiles!V9&gt;=4,1,0.3),IF(OR(Profiles!V9&lt;=2,ISNUMBER(SEARCH("Individual",Profiles!D9))),1,0.3)))</f>
        <v/>
      </c>
      <c r="M8" s="60">
        <f>IF(IFERROR(MATCH(Profiles!W9,{"None","Light","Medium","Heavy"},0)-1,0)&lt;=IFERROR(MATCH('User Input'!$B$28,{"None","Light","Medium","Heavy"},0)-1,3),1,MAX(0,1-0.4*(IFERROR(MATCH(Profiles!W9,{"None","Light","Medium","Heavy"},0)-1,0)-IFERROR(MATCH('User Input'!$B$28,{"None","Light","Medium","Heavy"},0)-1,3))))</f>
        <v/>
      </c>
      <c r="N8" s="60">
        <f>IF('User Input'!$B$29="neutral",1,IF('User Input'!$B$29="essential",IF(ISNUMBER(SEARCH("Outdoor",Profiles!X9)),1,0.3),IF('User Input'!$B$29="nice",IF(ISNUMBER(SEARCH("Outdoor",Profiles!X9)),1,0.65),IF('User Input'!$B$29="indoor",IF(ISNUMBER(SEARCH("Indoor",Profiles!X9)),1,0.4),1))))</f>
        <v/>
      </c>
      <c r="O8" s="60">
        <f>IF('User Input'!$B$30="Yes",1,IF(Profiles!Y9="Yes",0,1))</f>
        <v/>
      </c>
      <c r="P8" s="60">
        <f>IF(IFERROR(MATCH(Profiles!Z9,{"Low","Medium","High"},0),2)&lt;=IFERROR(MATCH('User Input'!$B$31,{"Low","Medium","High"},0),2),1,MAX(0,1-0.4*(IFERROR(MATCH(Profiles!Z9,{"Low","Medium","High"},0),2)-IFERROR(MATCH('User Input'!$B$31,{"Low","Medium","High"},0),2))))</f>
        <v/>
      </c>
      <c r="Q8" s="60">
        <f>IF('User Input'!$B$32="Yes",IF(ISNUMBER(Profiles!AC9),Profiles!AC9/10,0.5),1)</f>
        <v/>
      </c>
      <c r="R8" s="61">
        <f>IF(OR(K8=0,O8=0),0,ROUND(MIN(100,100*(K8*0.1+L8*0.2+M8*0.2+N8*0.1+P8*0.15+Q8*0.25)*W8*X8*Y8*Z8),1))</f>
        <v/>
      </c>
      <c r="S8" s="61">
        <f>IF(R8=0,0,ROUND(0.5*J8+0.5*R8,1))</f>
        <v/>
      </c>
      <c r="T8" s="36">
        <f>J8-ROW()/1000000</f>
        <v/>
      </c>
      <c r="U8" s="36">
        <f>R8-ROW()/1000000</f>
        <v/>
      </c>
      <c r="V8" s="36">
        <f>S8-ROW()/1000000</f>
        <v/>
      </c>
      <c r="W8" s="36">
        <f>IF(OR(AND(OR(Profiles!D9="Team field",Profiles!D9="Team field contact",Profiles!D9="Team field stick"),'User Input'!$B$34="Yes"),AND(OR(Profiles!D9="Team court",Profiles!D9="Team court contact"),'User Input'!$B$35="Yes"),AND(Profiles!D9="Individual racquet",'User Input'!$B$36="Yes"),AND(OR(Profiles!D9="Combat striking",Profiles!D9="Combat grappling",Profiles!D9="Combat mixed"),'User Input'!$B$37="Yes"),AND(OR(Profiles!D9="Team water contact",Profiles!D9="Individual water"),'User Input'!$B$38="Yes"),AND(OR(Profiles!D9="Endurance individual",Profiles!D9="Endurance individual / pair",Profiles!D9="Endurance individual / pursuit",Profiles!D9="Endurance team / pair",Profiles!D9="Endurance multi"),'User Input'!$B$39="Yes"),AND(OR(Profiles!D9="Strength individual",Profiles!D9="Power-throw individual"),'User Input'!$B$40="Yes"),AND(OR(Profiles!D9="Individual technical",Profiles!D9="Individual aesthetic",Profiles!D9="Team precision"),'User Input'!$B$41="Yes")),1.15,1)</f>
        <v/>
      </c>
      <c r="X8" s="36">
        <f>IF('User Input'!$B$33&lt;&gt;"none",1,IF(IFERROR(VALUE(TRIM(MID(SUBSTITUTE(SUBSTITUTE(Profiles!AA9,"–","-"),"-",REPT(" ",100)),100,100)))&lt;=14,FALSE),0.7,1))</f>
        <v/>
      </c>
      <c r="Y8" s="36">
        <f>IF(OR('User Input'!$B$42="under30",'User Input'!$B$42=""),1,IF('User Input'!$B$42="30to45",IF((IFERROR(MATCH(Profiles!W9,{"None","Light","Medium","Heavy"},0)-1,0)+IFERROR(MATCH(Profiles!AB9,{"Low","Medium","High"},0)-1,0))&gt;=5,0.85,1),IF('User Input'!$B$42="46to60",IF((IFERROR(MATCH(Profiles!W9,{"None","Light","Medium","Heavy"},0)-1,0)+IFERROR(MATCH(Profiles!AB9,{"Low","Medium","High"},0)-1,0))&gt;=5,0.65,IF((IFERROR(MATCH(Profiles!W9,{"None","Light","Medium","Heavy"},0)-1,0)+IFERROR(MATCH(Profiles!AB9,{"Low","Medium","High"},0)-1,0))&gt;=4,0.8,IF((IFERROR(MATCH(Profiles!W9,{"None","Light","Medium","Heavy"},0)-1,0)+IFERROR(MATCH(Profiles!AB9,{"Low","Medium","High"},0)-1,0))&gt;=3,0.9,1))),IF((IFERROR(MATCH(Profiles!W9,{"None","Light","Medium","Heavy"},0)-1,0)+IFERROR(MATCH(Profiles!AB9,{"Low","Medium","High"},0)-1,0))&gt;=5,0.4,IF((IFERROR(MATCH(Profiles!W9,{"None","Light","Medium","Heavy"},0)-1,0)+IFERROR(MATCH(Profiles!AB9,{"Low","Medium","High"},0)-1,0))&gt;=4,0.6,IF((IFERROR(MATCH(Profiles!W9,{"None","Light","Medium","Heavy"},0)-1,0)+IFERROR(MATCH(Profiles!AB9,{"Low","Medium","High"},0)-1,0))&gt;=3,0.75,IF((IFERROR(MATCH(Profiles!W9,{"None","Light","Medium","Heavy"},0)-1,0)+IFERROR(MATCH(Profiles!AB9,{"Low","Medium","High"},0)-1,0))&gt;=2,0.85,1)))))))</f>
        <v/>
      </c>
      <c r="Z8" s="36">
        <f>IF(OR('User Input'!$B$43="none",'User Input'!$B$43=""),1,IF('User Input'!$B$43="minor",IF(IFERROR(MATCH(Profiles!W9,{"None","Light","Medium","Heavy"},0)-1,0)&gt;=3,0.7,IF(IFERROR(MATCH(Profiles!W9,{"None","Light","Medium","Heavy"},0)-1,0)&gt;=2,0.85,1)),IF('User Input'!$B$43="joint",IF(OR(IFERROR(MATCH(Profiles!W9,{"None","Light","Medium","Heavy"},0)-1,0)&gt;=3,IFERROR(MATCH(Profiles!AB9,{"Low","Medium","High"},0)-1,0)&gt;=2),0.5,IF(OR(IFERROR(MATCH(Profiles!W9,{"None","Light","Medium","Heavy"},0)-1,0)&gt;=2,IFERROR(MATCH(Profiles!AB9,{"Low","Medium","High"},0)-1,0)&gt;=1),0.75,1)),IF(OR(IFERROR(MATCH(Profiles!W9,{"None","Light","Medium","Heavy"},0)-1,0)&gt;=2,IFERROR(MATCH(Profiles!AB9,{"Low","Medium","High"},0)-1,0)&gt;=2),0.3,IF(OR(IFERROR(MATCH(Profiles!W9,{"None","Light","Medium","Heavy"},0)-1,0)&gt;=1,IFERROR(MATCH(Profiles!AB9,{"Low","Medium","High"},0)-1,0)&gt;=1),0.6,0.9)))))</f>
        <v/>
      </c>
    </row>
    <row r="9" ht="23.25" customHeight="1" s="37">
      <c r="A9" s="59">
        <f>Profiles!A10</f>
        <v/>
      </c>
      <c r="B9" s="59">
        <f>Profiles!B10</f>
        <v/>
      </c>
      <c r="C9" s="59">
        <f>Profiles!C10</f>
        <v/>
      </c>
      <c r="D9" s="59">
        <f>Profiles!D10</f>
        <v/>
      </c>
      <c r="E9" s="60">
        <f>IF(ISNUMBER(Profiles!E10),IF(ISNUMBER(Profiles!F10),MAX(0,1-(MAX(0,ABS('User Input'!$B$9-Profiles!E10)-Profiles!F10))/Profiles!F10/3),MAX(0,1-ABS('User Input'!$B$9-Profiles!E10)/(Profiles!E10*0.1)/3)),0.5)</f>
        <v/>
      </c>
      <c r="F9" s="60">
        <f>IF(ISNUMBER(Profiles!G10),IF(ISNUMBER(Profiles!H10),MAX(0,1-(MAX(0,ABS('User Input'!$B$10-Profiles!G10)-Profiles!H10))/Profiles!H10/3),MAX(0,1-ABS('User Input'!$B$10-Profiles!G10)/(Profiles!G10*0.15)/3)),0.5)</f>
        <v/>
      </c>
      <c r="G9" s="60">
        <f>IF(ISNUMBER(Profiles!J10),MAX(0,1-ABS('User Input'!$B$12-Profiles!J10)/5/3),0.5)</f>
        <v/>
      </c>
      <c r="H9" s="60">
        <f>IF(ISNUMBER(Profiles!K10),MAX(0,1-ABS('User Input'!$B$14-Profiles!K10)/0.03/3),"n/a")</f>
        <v/>
      </c>
      <c r="I9" s="61">
        <f>100*MAX(0,1-(MAX(0,Profiles!M10-'User Input'!$B$17)+0.5*MAX(0,'User Input'!$B$17-Profiles!M10)+MAX(0,Profiles!N10-'User Input'!$B$18)+0.5*MAX(0,'User Input'!$B$18-Profiles!N10)+MAX(0,Profiles!O10-'User Input'!$B$19)+0.5*MAX(0,'User Input'!$B$19-Profiles!O10)+MAX(0,Profiles!P10-'User Input'!$B$20)+0.5*MAX(0,'User Input'!$B$20-Profiles!P10)+MAX(0,Profiles!Q10-'User Input'!$B$21)+0.5*MAX(0,'User Input'!$B$21-Profiles!Q10)+MAX(0,Profiles!S10-'User Input'!$B$22)+0.5*MAX(0,'User Input'!$B$22-Profiles!S10)+MAX(0,Profiles!T10-'User Input'!$B$23)+0.5*MAX(0,'User Input'!$B$23-Profiles!T10)+MAX(0,Profiles!U10-'User Input'!$B$24)+0.5*MAX(0,'User Input'!$B$24-Profiles!U10))/40)</f>
        <v/>
      </c>
      <c r="J9" s="61">
        <f>ROUND(60*(E9+F9+G9+IFERROR(VALUE(H9),(E9+F9+G9)/3))/4 + 0.4*I9,1)</f>
        <v/>
      </c>
      <c r="K9" s="60">
        <f>IF(OR(AND('User Input'!$B$6="M",Profiles!$AG10="M"),AND('User Input'!$B$6="F",Profiles!$AG10="F")),1,0)</f>
        <v/>
      </c>
      <c r="L9" s="60">
        <f>IF('User Input'!$B$27="Either",(IF(Profiles!V10&gt;=4,1,0.3)+IF(OR(Profiles!V10&lt;=2,ISNUMBER(SEARCH("Individual",Profiles!D10))),1,0.3))/2,IF('User Input'!$B$27="Team",IF(Profiles!V10&gt;=4,1,0.3),IF(OR(Profiles!V10&lt;=2,ISNUMBER(SEARCH("Individual",Profiles!D10))),1,0.3)))</f>
        <v/>
      </c>
      <c r="M9" s="60">
        <f>IF(IFERROR(MATCH(Profiles!W10,{"None","Light","Medium","Heavy"},0)-1,0)&lt;=IFERROR(MATCH('User Input'!$B$28,{"None","Light","Medium","Heavy"},0)-1,3),1,MAX(0,1-0.4*(IFERROR(MATCH(Profiles!W10,{"None","Light","Medium","Heavy"},0)-1,0)-IFERROR(MATCH('User Input'!$B$28,{"None","Light","Medium","Heavy"},0)-1,3))))</f>
        <v/>
      </c>
      <c r="N9" s="60">
        <f>IF('User Input'!$B$29="neutral",1,IF('User Input'!$B$29="essential",IF(ISNUMBER(SEARCH("Outdoor",Profiles!X10)),1,0.3),IF('User Input'!$B$29="nice",IF(ISNUMBER(SEARCH("Outdoor",Profiles!X10)),1,0.65),IF('User Input'!$B$29="indoor",IF(ISNUMBER(SEARCH("Indoor",Profiles!X10)),1,0.4),1))))</f>
        <v/>
      </c>
      <c r="O9" s="60">
        <f>IF('User Input'!$B$30="Yes",1,IF(Profiles!Y10="Yes",0,1))</f>
        <v/>
      </c>
      <c r="P9" s="60">
        <f>IF(IFERROR(MATCH(Profiles!Z10,{"Low","Medium","High"},0),2)&lt;=IFERROR(MATCH('User Input'!$B$31,{"Low","Medium","High"},0),2),1,MAX(0,1-0.4*(IFERROR(MATCH(Profiles!Z10,{"Low","Medium","High"},0),2)-IFERROR(MATCH('User Input'!$B$31,{"Low","Medium","High"},0),2))))</f>
        <v/>
      </c>
      <c r="Q9" s="60">
        <f>IF('User Input'!$B$32="Yes",IF(ISNUMBER(Profiles!AC10),Profiles!AC10/10,0.5),1)</f>
        <v/>
      </c>
      <c r="R9" s="61">
        <f>IF(OR(K9=0,O9=0),0,ROUND(MIN(100,100*(K9*0.1+L9*0.2+M9*0.2+N9*0.1+P9*0.15+Q9*0.25)*W9*X9*Y9*Z9),1))</f>
        <v/>
      </c>
      <c r="S9" s="61">
        <f>IF(R9=0,0,ROUND(0.5*J9+0.5*R9,1))</f>
        <v/>
      </c>
      <c r="T9" s="36">
        <f>J9-ROW()/1000000</f>
        <v/>
      </c>
      <c r="U9" s="36">
        <f>R9-ROW()/1000000</f>
        <v/>
      </c>
      <c r="V9" s="36">
        <f>S9-ROW()/1000000</f>
        <v/>
      </c>
      <c r="W9" s="36">
        <f>IF(OR(AND(OR(Profiles!D10="Team field",Profiles!D10="Team field contact",Profiles!D10="Team field stick"),'User Input'!$B$34="Yes"),AND(OR(Profiles!D10="Team court",Profiles!D10="Team court contact"),'User Input'!$B$35="Yes"),AND(Profiles!D10="Individual racquet",'User Input'!$B$36="Yes"),AND(OR(Profiles!D10="Combat striking",Profiles!D10="Combat grappling",Profiles!D10="Combat mixed"),'User Input'!$B$37="Yes"),AND(OR(Profiles!D10="Team water contact",Profiles!D10="Individual water"),'User Input'!$B$38="Yes"),AND(OR(Profiles!D10="Endurance individual",Profiles!D10="Endurance individual / pair",Profiles!D10="Endurance individual / pursuit",Profiles!D10="Endurance team / pair",Profiles!D10="Endurance multi"),'User Input'!$B$39="Yes"),AND(OR(Profiles!D10="Strength individual",Profiles!D10="Power-throw individual"),'User Input'!$B$40="Yes"),AND(OR(Profiles!D10="Individual technical",Profiles!D10="Individual aesthetic",Profiles!D10="Team precision"),'User Input'!$B$41="Yes")),1.15,1)</f>
        <v/>
      </c>
      <c r="X9" s="36">
        <f>IF('User Input'!$B$33&lt;&gt;"none",1,IF(IFERROR(VALUE(TRIM(MID(SUBSTITUTE(SUBSTITUTE(Profiles!AA10,"–","-"),"-",REPT(" ",100)),100,100)))&lt;=14,FALSE),0.7,1))</f>
        <v/>
      </c>
      <c r="Y9" s="36">
        <f>IF(OR('User Input'!$B$42="under30",'User Input'!$B$42=""),1,IF('User Input'!$B$42="30to45",IF((IFERROR(MATCH(Profiles!W10,{"None","Light","Medium","Heavy"},0)-1,0)+IFERROR(MATCH(Profiles!AB10,{"Low","Medium","High"},0)-1,0))&gt;=5,0.85,1),IF('User Input'!$B$42="46to60",IF((IFERROR(MATCH(Profiles!W10,{"None","Light","Medium","Heavy"},0)-1,0)+IFERROR(MATCH(Profiles!AB10,{"Low","Medium","High"},0)-1,0))&gt;=5,0.65,IF((IFERROR(MATCH(Profiles!W10,{"None","Light","Medium","Heavy"},0)-1,0)+IFERROR(MATCH(Profiles!AB10,{"Low","Medium","High"},0)-1,0))&gt;=4,0.8,IF((IFERROR(MATCH(Profiles!W10,{"None","Light","Medium","Heavy"},0)-1,0)+IFERROR(MATCH(Profiles!AB10,{"Low","Medium","High"},0)-1,0))&gt;=3,0.9,1))),IF((IFERROR(MATCH(Profiles!W10,{"None","Light","Medium","Heavy"},0)-1,0)+IFERROR(MATCH(Profiles!AB10,{"Low","Medium","High"},0)-1,0))&gt;=5,0.4,IF((IFERROR(MATCH(Profiles!W10,{"None","Light","Medium","Heavy"},0)-1,0)+IFERROR(MATCH(Profiles!AB10,{"Low","Medium","High"},0)-1,0))&gt;=4,0.6,IF((IFERROR(MATCH(Profiles!W10,{"None","Light","Medium","Heavy"},0)-1,0)+IFERROR(MATCH(Profiles!AB10,{"Low","Medium","High"},0)-1,0))&gt;=3,0.75,IF((IFERROR(MATCH(Profiles!W10,{"None","Light","Medium","Heavy"},0)-1,0)+IFERROR(MATCH(Profiles!AB10,{"Low","Medium","High"},0)-1,0))&gt;=2,0.85,1)))))))</f>
        <v/>
      </c>
      <c r="Z9" s="36">
        <f>IF(OR('User Input'!$B$43="none",'User Input'!$B$43=""),1,IF('User Input'!$B$43="minor",IF(IFERROR(MATCH(Profiles!W10,{"None","Light","Medium","Heavy"},0)-1,0)&gt;=3,0.7,IF(IFERROR(MATCH(Profiles!W10,{"None","Light","Medium","Heavy"},0)-1,0)&gt;=2,0.85,1)),IF('User Input'!$B$43="joint",IF(OR(IFERROR(MATCH(Profiles!W10,{"None","Light","Medium","Heavy"},0)-1,0)&gt;=3,IFERROR(MATCH(Profiles!AB10,{"Low","Medium","High"},0)-1,0)&gt;=2),0.5,IF(OR(IFERROR(MATCH(Profiles!W10,{"None","Light","Medium","Heavy"},0)-1,0)&gt;=2,IFERROR(MATCH(Profiles!AB10,{"Low","Medium","High"},0)-1,0)&gt;=1),0.75,1)),IF(OR(IFERROR(MATCH(Profiles!W10,{"None","Light","Medium","Heavy"},0)-1,0)&gt;=2,IFERROR(MATCH(Profiles!AB10,{"Low","Medium","High"},0)-1,0)&gt;=2),0.3,IF(OR(IFERROR(MATCH(Profiles!W10,{"None","Light","Medium","Heavy"},0)-1,0)&gt;=1,IFERROR(MATCH(Profiles!AB10,{"Low","Medium","High"},0)-1,0)&gt;=1),0.6,0.9)))))</f>
        <v/>
      </c>
    </row>
    <row r="10" ht="15" customHeight="1" s="37">
      <c r="A10" s="59">
        <f>Profiles!A11</f>
        <v/>
      </c>
      <c r="B10" s="59">
        <f>Profiles!B11</f>
        <v/>
      </c>
      <c r="C10" s="59">
        <f>Profiles!C11</f>
        <v/>
      </c>
      <c r="D10" s="59">
        <f>Profiles!D11</f>
        <v/>
      </c>
      <c r="E10" s="60">
        <f>IF(ISNUMBER(Profiles!E11),IF(ISNUMBER(Profiles!F11),MAX(0,1-(MAX(0,ABS('User Input'!$B$9-Profiles!E11)-Profiles!F11))/Profiles!F11/3),MAX(0,1-ABS('User Input'!$B$9-Profiles!E11)/(Profiles!E11*0.1)/3)),0.5)</f>
        <v/>
      </c>
      <c r="F10" s="60">
        <f>IF(ISNUMBER(Profiles!G11),IF(ISNUMBER(Profiles!H11),MAX(0,1-(MAX(0,ABS('User Input'!$B$10-Profiles!G11)-Profiles!H11))/Profiles!H11/3),MAX(0,1-ABS('User Input'!$B$10-Profiles!G11)/(Profiles!G11*0.15)/3)),0.5)</f>
        <v/>
      </c>
      <c r="G10" s="60">
        <f>IF(ISNUMBER(Profiles!J11),MAX(0,1-ABS('User Input'!$B$12-Profiles!J11)/5/3),0.5)</f>
        <v/>
      </c>
      <c r="H10" s="60">
        <f>IF(ISNUMBER(Profiles!K11),MAX(0,1-ABS('User Input'!$B$14-Profiles!K11)/0.03/3),"n/a")</f>
        <v/>
      </c>
      <c r="I10" s="61">
        <f>100*MAX(0,1-(MAX(0,Profiles!M11-'User Input'!$B$17)+0.5*MAX(0,'User Input'!$B$17-Profiles!M11)+MAX(0,Profiles!N11-'User Input'!$B$18)+0.5*MAX(0,'User Input'!$B$18-Profiles!N11)+MAX(0,Profiles!O11-'User Input'!$B$19)+0.5*MAX(0,'User Input'!$B$19-Profiles!O11)+MAX(0,Profiles!P11-'User Input'!$B$20)+0.5*MAX(0,'User Input'!$B$20-Profiles!P11)+MAX(0,Profiles!Q11-'User Input'!$B$21)+0.5*MAX(0,'User Input'!$B$21-Profiles!Q11)+MAX(0,Profiles!S11-'User Input'!$B$22)+0.5*MAX(0,'User Input'!$B$22-Profiles!S11)+MAX(0,Profiles!T11-'User Input'!$B$23)+0.5*MAX(0,'User Input'!$B$23-Profiles!T11)+MAX(0,Profiles!U11-'User Input'!$B$24)+0.5*MAX(0,'User Input'!$B$24-Profiles!U11))/40)</f>
        <v/>
      </c>
      <c r="J10" s="61">
        <f>ROUND(60*(E10+F10+G10+IFERROR(VALUE(H10),(E10+F10+G10)/3))/4 + 0.4*I10,1)</f>
        <v/>
      </c>
      <c r="K10" s="60">
        <f>IF(OR(AND('User Input'!$B$6="M",Profiles!$AG11="M"),AND('User Input'!$B$6="F",Profiles!$AG11="F")),1,0)</f>
        <v/>
      </c>
      <c r="L10" s="60">
        <f>IF('User Input'!$B$27="Either",(IF(Profiles!V11&gt;=4,1,0.3)+IF(OR(Profiles!V11&lt;=2,ISNUMBER(SEARCH("Individual",Profiles!D11))),1,0.3))/2,IF('User Input'!$B$27="Team",IF(Profiles!V11&gt;=4,1,0.3),IF(OR(Profiles!V11&lt;=2,ISNUMBER(SEARCH("Individual",Profiles!D11))),1,0.3)))</f>
        <v/>
      </c>
      <c r="M10" s="60">
        <f>IF(IFERROR(MATCH(Profiles!W11,{"None","Light","Medium","Heavy"},0)-1,0)&lt;=IFERROR(MATCH('User Input'!$B$28,{"None","Light","Medium","Heavy"},0)-1,3),1,MAX(0,1-0.4*(IFERROR(MATCH(Profiles!W11,{"None","Light","Medium","Heavy"},0)-1,0)-IFERROR(MATCH('User Input'!$B$28,{"None","Light","Medium","Heavy"},0)-1,3))))</f>
        <v/>
      </c>
      <c r="N10" s="60">
        <f>IF('User Input'!$B$29="neutral",1,IF('User Input'!$B$29="essential",IF(ISNUMBER(SEARCH("Outdoor",Profiles!X11)),1,0.3),IF('User Input'!$B$29="nice",IF(ISNUMBER(SEARCH("Outdoor",Profiles!X11)),1,0.65),IF('User Input'!$B$29="indoor",IF(ISNUMBER(SEARCH("Indoor",Profiles!X11)),1,0.4),1))))</f>
        <v/>
      </c>
      <c r="O10" s="60">
        <f>IF('User Input'!$B$30="Yes",1,IF(Profiles!Y11="Yes",0,1))</f>
        <v/>
      </c>
      <c r="P10" s="60">
        <f>IF(IFERROR(MATCH(Profiles!Z11,{"Low","Medium","High"},0),2)&lt;=IFERROR(MATCH('User Input'!$B$31,{"Low","Medium","High"},0),2),1,MAX(0,1-0.4*(IFERROR(MATCH(Profiles!Z11,{"Low","Medium","High"},0),2)-IFERROR(MATCH('User Input'!$B$31,{"Low","Medium","High"},0),2))))</f>
        <v/>
      </c>
      <c r="Q10" s="60">
        <f>IF('User Input'!$B$32="Yes",IF(ISNUMBER(Profiles!AC11),Profiles!AC11/10,0.5),1)</f>
        <v/>
      </c>
      <c r="R10" s="61">
        <f>IF(OR(K10=0,O10=0),0,ROUND(MIN(100,100*(K10*0.1+L10*0.2+M10*0.2+N10*0.1+P10*0.15+Q10*0.25)*W10*X10*Y10*Z10),1))</f>
        <v/>
      </c>
      <c r="S10" s="61">
        <f>IF(R10=0,0,ROUND(0.5*J10+0.5*R10,1))</f>
        <v/>
      </c>
      <c r="T10" s="36">
        <f>J10-ROW()/1000000</f>
        <v/>
      </c>
      <c r="U10" s="36">
        <f>R10-ROW()/1000000</f>
        <v/>
      </c>
      <c r="V10" s="36">
        <f>S10-ROW()/1000000</f>
        <v/>
      </c>
      <c r="W10" s="36">
        <f>IF(OR(AND(OR(Profiles!D11="Team field",Profiles!D11="Team field contact",Profiles!D11="Team field stick"),'User Input'!$B$34="Yes"),AND(OR(Profiles!D11="Team court",Profiles!D11="Team court contact"),'User Input'!$B$35="Yes"),AND(Profiles!D11="Individual racquet",'User Input'!$B$36="Yes"),AND(OR(Profiles!D11="Combat striking",Profiles!D11="Combat grappling",Profiles!D11="Combat mixed"),'User Input'!$B$37="Yes"),AND(OR(Profiles!D11="Team water contact",Profiles!D11="Individual water"),'User Input'!$B$38="Yes"),AND(OR(Profiles!D11="Endurance individual",Profiles!D11="Endurance individual / pair",Profiles!D11="Endurance individual / pursuit",Profiles!D11="Endurance team / pair",Profiles!D11="Endurance multi"),'User Input'!$B$39="Yes"),AND(OR(Profiles!D11="Strength individual",Profiles!D11="Power-throw individual"),'User Input'!$B$40="Yes"),AND(OR(Profiles!D11="Individual technical",Profiles!D11="Individual aesthetic",Profiles!D11="Team precision"),'User Input'!$B$41="Yes")),1.15,1)</f>
        <v/>
      </c>
      <c r="X10" s="36">
        <f>IF('User Input'!$B$33&lt;&gt;"none",1,IF(IFERROR(VALUE(TRIM(MID(SUBSTITUTE(SUBSTITUTE(Profiles!AA11,"–","-"),"-",REPT(" ",100)),100,100)))&lt;=14,FALSE),0.7,1))</f>
        <v/>
      </c>
      <c r="Y10" s="36">
        <f>IF(OR('User Input'!$B$42="under30",'User Input'!$B$42=""),1,IF('User Input'!$B$42="30to45",IF((IFERROR(MATCH(Profiles!W11,{"None","Light","Medium","Heavy"},0)-1,0)+IFERROR(MATCH(Profiles!AB11,{"Low","Medium","High"},0)-1,0))&gt;=5,0.85,1),IF('User Input'!$B$42="46to60",IF((IFERROR(MATCH(Profiles!W11,{"None","Light","Medium","Heavy"},0)-1,0)+IFERROR(MATCH(Profiles!AB11,{"Low","Medium","High"},0)-1,0))&gt;=5,0.65,IF((IFERROR(MATCH(Profiles!W11,{"None","Light","Medium","Heavy"},0)-1,0)+IFERROR(MATCH(Profiles!AB11,{"Low","Medium","High"},0)-1,0))&gt;=4,0.8,IF((IFERROR(MATCH(Profiles!W11,{"None","Light","Medium","Heavy"},0)-1,0)+IFERROR(MATCH(Profiles!AB11,{"Low","Medium","High"},0)-1,0))&gt;=3,0.9,1))),IF((IFERROR(MATCH(Profiles!W11,{"None","Light","Medium","Heavy"},0)-1,0)+IFERROR(MATCH(Profiles!AB11,{"Low","Medium","High"},0)-1,0))&gt;=5,0.4,IF((IFERROR(MATCH(Profiles!W11,{"None","Light","Medium","Heavy"},0)-1,0)+IFERROR(MATCH(Profiles!AB11,{"Low","Medium","High"},0)-1,0))&gt;=4,0.6,IF((IFERROR(MATCH(Profiles!W11,{"None","Light","Medium","Heavy"},0)-1,0)+IFERROR(MATCH(Profiles!AB11,{"Low","Medium","High"},0)-1,0))&gt;=3,0.75,IF((IFERROR(MATCH(Profiles!W11,{"None","Light","Medium","Heavy"},0)-1,0)+IFERROR(MATCH(Profiles!AB11,{"Low","Medium","High"},0)-1,0))&gt;=2,0.85,1)))))))</f>
        <v/>
      </c>
      <c r="Z10" s="36">
        <f>IF(OR('User Input'!$B$43="none",'User Input'!$B$43=""),1,IF('User Input'!$B$43="minor",IF(IFERROR(MATCH(Profiles!W11,{"None","Light","Medium","Heavy"},0)-1,0)&gt;=3,0.7,IF(IFERROR(MATCH(Profiles!W11,{"None","Light","Medium","Heavy"},0)-1,0)&gt;=2,0.85,1)),IF('User Input'!$B$43="joint",IF(OR(IFERROR(MATCH(Profiles!W11,{"None","Light","Medium","Heavy"},0)-1,0)&gt;=3,IFERROR(MATCH(Profiles!AB11,{"Low","Medium","High"},0)-1,0)&gt;=2),0.5,IF(OR(IFERROR(MATCH(Profiles!W11,{"None","Light","Medium","Heavy"},0)-1,0)&gt;=2,IFERROR(MATCH(Profiles!AB11,{"Low","Medium","High"},0)-1,0)&gt;=1),0.75,1)),IF(OR(IFERROR(MATCH(Profiles!W11,{"None","Light","Medium","Heavy"},0)-1,0)&gt;=2,IFERROR(MATCH(Profiles!AB11,{"Low","Medium","High"},0)-1,0)&gt;=2),0.3,IF(OR(IFERROR(MATCH(Profiles!W11,{"None","Light","Medium","Heavy"},0)-1,0)&gt;=1,IFERROR(MATCH(Profiles!AB11,{"Low","Medium","High"},0)-1,0)&gt;=1),0.6,0.9)))))</f>
        <v/>
      </c>
    </row>
    <row r="11" ht="23.25" customHeight="1" s="37">
      <c r="A11" s="59">
        <f>Profiles!A12</f>
        <v/>
      </c>
      <c r="B11" s="59">
        <f>Profiles!B12</f>
        <v/>
      </c>
      <c r="C11" s="59">
        <f>Profiles!C12</f>
        <v/>
      </c>
      <c r="D11" s="59">
        <f>Profiles!D12</f>
        <v/>
      </c>
      <c r="E11" s="60">
        <f>IF(ISNUMBER(Profiles!E12),IF(ISNUMBER(Profiles!F12),MAX(0,1-(MAX(0,ABS('User Input'!$B$9-Profiles!E12)-Profiles!F12))/Profiles!F12/3),MAX(0,1-ABS('User Input'!$B$9-Profiles!E12)/(Profiles!E12*0.1)/3)),0.5)</f>
        <v/>
      </c>
      <c r="F11" s="60">
        <f>IF(ISNUMBER(Profiles!G12),IF(ISNUMBER(Profiles!H12),MAX(0,1-(MAX(0,ABS('User Input'!$B$10-Profiles!G12)-Profiles!H12))/Profiles!H12/3),MAX(0,1-ABS('User Input'!$B$10-Profiles!G12)/(Profiles!G12*0.15)/3)),0.5)</f>
        <v/>
      </c>
      <c r="G11" s="60">
        <f>IF(ISNUMBER(Profiles!J12),MAX(0,1-ABS('User Input'!$B$12-Profiles!J12)/5/3),0.5)</f>
        <v/>
      </c>
      <c r="H11" s="60">
        <f>IF(ISNUMBER(Profiles!K12),MAX(0,1-ABS('User Input'!$B$14-Profiles!K12)/0.03/3),"n/a")</f>
        <v/>
      </c>
      <c r="I11" s="61">
        <f>100*MAX(0,1-(MAX(0,Profiles!M12-'User Input'!$B$17)+0.5*MAX(0,'User Input'!$B$17-Profiles!M12)+MAX(0,Profiles!N12-'User Input'!$B$18)+0.5*MAX(0,'User Input'!$B$18-Profiles!N12)+MAX(0,Profiles!O12-'User Input'!$B$19)+0.5*MAX(0,'User Input'!$B$19-Profiles!O12)+MAX(0,Profiles!P12-'User Input'!$B$20)+0.5*MAX(0,'User Input'!$B$20-Profiles!P12)+MAX(0,Profiles!Q12-'User Input'!$B$21)+0.5*MAX(0,'User Input'!$B$21-Profiles!Q12)+MAX(0,Profiles!S12-'User Input'!$B$22)+0.5*MAX(0,'User Input'!$B$22-Profiles!S12)+MAX(0,Profiles!T12-'User Input'!$B$23)+0.5*MAX(0,'User Input'!$B$23-Profiles!T12)+MAX(0,Profiles!U12-'User Input'!$B$24)+0.5*MAX(0,'User Input'!$B$24-Profiles!U12))/40)</f>
        <v/>
      </c>
      <c r="J11" s="61">
        <f>ROUND(60*(E11+F11+G11+IFERROR(VALUE(H11),(E11+F11+G11)/3))/4 + 0.4*I11,1)</f>
        <v/>
      </c>
      <c r="K11" s="60">
        <f>IF(OR(AND('User Input'!$B$6="M",Profiles!$AG12="M"),AND('User Input'!$B$6="F",Profiles!$AG12="F")),1,0)</f>
        <v/>
      </c>
      <c r="L11" s="60">
        <f>IF('User Input'!$B$27="Either",(IF(Profiles!V12&gt;=4,1,0.3)+IF(OR(Profiles!V12&lt;=2,ISNUMBER(SEARCH("Individual",Profiles!D12))),1,0.3))/2,IF('User Input'!$B$27="Team",IF(Profiles!V12&gt;=4,1,0.3),IF(OR(Profiles!V12&lt;=2,ISNUMBER(SEARCH("Individual",Profiles!D12))),1,0.3)))</f>
        <v/>
      </c>
      <c r="M11" s="60">
        <f>IF(IFERROR(MATCH(Profiles!W12,{"None","Light","Medium","Heavy"},0)-1,0)&lt;=IFERROR(MATCH('User Input'!$B$28,{"None","Light","Medium","Heavy"},0)-1,3),1,MAX(0,1-0.4*(IFERROR(MATCH(Profiles!W12,{"None","Light","Medium","Heavy"},0)-1,0)-IFERROR(MATCH('User Input'!$B$28,{"None","Light","Medium","Heavy"},0)-1,3))))</f>
        <v/>
      </c>
      <c r="N11" s="60">
        <f>IF('User Input'!$B$29="neutral",1,IF('User Input'!$B$29="essential",IF(ISNUMBER(SEARCH("Outdoor",Profiles!X12)),1,0.3),IF('User Input'!$B$29="nice",IF(ISNUMBER(SEARCH("Outdoor",Profiles!X12)),1,0.65),IF('User Input'!$B$29="indoor",IF(ISNUMBER(SEARCH("Indoor",Profiles!X12)),1,0.4),1))))</f>
        <v/>
      </c>
      <c r="O11" s="60">
        <f>IF('User Input'!$B$30="Yes",1,IF(Profiles!Y12="Yes",0,1))</f>
        <v/>
      </c>
      <c r="P11" s="60">
        <f>IF(IFERROR(MATCH(Profiles!Z12,{"Low","Medium","High"},0),2)&lt;=IFERROR(MATCH('User Input'!$B$31,{"Low","Medium","High"},0),2),1,MAX(0,1-0.4*(IFERROR(MATCH(Profiles!Z12,{"Low","Medium","High"},0),2)-IFERROR(MATCH('User Input'!$B$31,{"Low","Medium","High"},0),2))))</f>
        <v/>
      </c>
      <c r="Q11" s="60">
        <f>IF('User Input'!$B$32="Yes",IF(ISNUMBER(Profiles!AC12),Profiles!AC12/10,0.5),1)</f>
        <v/>
      </c>
      <c r="R11" s="61">
        <f>IF(OR(K11=0,O11=0),0,ROUND(MIN(100,100*(K11*0.1+L11*0.2+M11*0.2+N11*0.1+P11*0.15+Q11*0.25)*W11*X11*Y11*Z11),1))</f>
        <v/>
      </c>
      <c r="S11" s="61">
        <f>IF(R11=0,0,ROUND(0.5*J11+0.5*R11,1))</f>
        <v/>
      </c>
      <c r="T11" s="36">
        <f>J11-ROW()/1000000</f>
        <v/>
      </c>
      <c r="U11" s="36">
        <f>R11-ROW()/1000000</f>
        <v/>
      </c>
      <c r="V11" s="36">
        <f>S11-ROW()/1000000</f>
        <v/>
      </c>
      <c r="W11" s="36">
        <f>IF(OR(AND(OR(Profiles!D12="Team field",Profiles!D12="Team field contact",Profiles!D12="Team field stick"),'User Input'!$B$34="Yes"),AND(OR(Profiles!D12="Team court",Profiles!D12="Team court contact"),'User Input'!$B$35="Yes"),AND(Profiles!D12="Individual racquet",'User Input'!$B$36="Yes"),AND(OR(Profiles!D12="Combat striking",Profiles!D12="Combat grappling",Profiles!D12="Combat mixed"),'User Input'!$B$37="Yes"),AND(OR(Profiles!D12="Team water contact",Profiles!D12="Individual water"),'User Input'!$B$38="Yes"),AND(OR(Profiles!D12="Endurance individual",Profiles!D12="Endurance individual / pair",Profiles!D12="Endurance individual / pursuit",Profiles!D12="Endurance team / pair",Profiles!D12="Endurance multi"),'User Input'!$B$39="Yes"),AND(OR(Profiles!D12="Strength individual",Profiles!D12="Power-throw individual"),'User Input'!$B$40="Yes"),AND(OR(Profiles!D12="Individual technical",Profiles!D12="Individual aesthetic",Profiles!D12="Team precision"),'User Input'!$B$41="Yes")),1.15,1)</f>
        <v/>
      </c>
      <c r="X11" s="36">
        <f>IF('User Input'!$B$33&lt;&gt;"none",1,IF(IFERROR(VALUE(TRIM(MID(SUBSTITUTE(SUBSTITUTE(Profiles!AA12,"–","-"),"-",REPT(" ",100)),100,100)))&lt;=14,FALSE),0.7,1))</f>
        <v/>
      </c>
      <c r="Y11" s="36">
        <f>IF(OR('User Input'!$B$42="under30",'User Input'!$B$42=""),1,IF('User Input'!$B$42="30to45",IF((IFERROR(MATCH(Profiles!W12,{"None","Light","Medium","Heavy"},0)-1,0)+IFERROR(MATCH(Profiles!AB12,{"Low","Medium","High"},0)-1,0))&gt;=5,0.85,1),IF('User Input'!$B$42="46to60",IF((IFERROR(MATCH(Profiles!W12,{"None","Light","Medium","Heavy"},0)-1,0)+IFERROR(MATCH(Profiles!AB12,{"Low","Medium","High"},0)-1,0))&gt;=5,0.65,IF((IFERROR(MATCH(Profiles!W12,{"None","Light","Medium","Heavy"},0)-1,0)+IFERROR(MATCH(Profiles!AB12,{"Low","Medium","High"},0)-1,0))&gt;=4,0.8,IF((IFERROR(MATCH(Profiles!W12,{"None","Light","Medium","Heavy"},0)-1,0)+IFERROR(MATCH(Profiles!AB12,{"Low","Medium","High"},0)-1,0))&gt;=3,0.9,1))),IF((IFERROR(MATCH(Profiles!W12,{"None","Light","Medium","Heavy"},0)-1,0)+IFERROR(MATCH(Profiles!AB12,{"Low","Medium","High"},0)-1,0))&gt;=5,0.4,IF((IFERROR(MATCH(Profiles!W12,{"None","Light","Medium","Heavy"},0)-1,0)+IFERROR(MATCH(Profiles!AB12,{"Low","Medium","High"},0)-1,0))&gt;=4,0.6,IF((IFERROR(MATCH(Profiles!W12,{"None","Light","Medium","Heavy"},0)-1,0)+IFERROR(MATCH(Profiles!AB12,{"Low","Medium","High"},0)-1,0))&gt;=3,0.75,IF((IFERROR(MATCH(Profiles!W12,{"None","Light","Medium","Heavy"},0)-1,0)+IFERROR(MATCH(Profiles!AB12,{"Low","Medium","High"},0)-1,0))&gt;=2,0.85,1)))))))</f>
        <v/>
      </c>
      <c r="Z11" s="36">
        <f>IF(OR('User Input'!$B$43="none",'User Input'!$B$43=""),1,IF('User Input'!$B$43="minor",IF(IFERROR(MATCH(Profiles!W12,{"None","Light","Medium","Heavy"},0)-1,0)&gt;=3,0.7,IF(IFERROR(MATCH(Profiles!W12,{"None","Light","Medium","Heavy"},0)-1,0)&gt;=2,0.85,1)),IF('User Input'!$B$43="joint",IF(OR(IFERROR(MATCH(Profiles!W12,{"None","Light","Medium","Heavy"},0)-1,0)&gt;=3,IFERROR(MATCH(Profiles!AB12,{"Low","Medium","High"},0)-1,0)&gt;=2),0.5,IF(OR(IFERROR(MATCH(Profiles!W12,{"None","Light","Medium","Heavy"},0)-1,0)&gt;=2,IFERROR(MATCH(Profiles!AB12,{"Low","Medium","High"},0)-1,0)&gt;=1),0.75,1)),IF(OR(IFERROR(MATCH(Profiles!W12,{"None","Light","Medium","Heavy"},0)-1,0)&gt;=2,IFERROR(MATCH(Profiles!AB12,{"Low","Medium","High"},0)-1,0)&gt;=2),0.3,IF(OR(IFERROR(MATCH(Profiles!W12,{"None","Light","Medium","Heavy"},0)-1,0)&gt;=1,IFERROR(MATCH(Profiles!AB12,{"Low","Medium","High"},0)-1,0)&gt;=1),0.6,0.9)))))</f>
        <v/>
      </c>
    </row>
    <row r="12" ht="23.25" customHeight="1" s="37">
      <c r="A12" s="59">
        <f>Profiles!A13</f>
        <v/>
      </c>
      <c r="B12" s="59">
        <f>Profiles!B13</f>
        <v/>
      </c>
      <c r="C12" s="59">
        <f>Profiles!C13</f>
        <v/>
      </c>
      <c r="D12" s="59">
        <f>Profiles!D13</f>
        <v/>
      </c>
      <c r="E12" s="60">
        <f>IF(ISNUMBER(Profiles!E13),IF(ISNUMBER(Profiles!F13),MAX(0,1-(MAX(0,ABS('User Input'!$B$9-Profiles!E13)-Profiles!F13))/Profiles!F13/3),MAX(0,1-ABS('User Input'!$B$9-Profiles!E13)/(Profiles!E13*0.1)/3)),0.5)</f>
        <v/>
      </c>
      <c r="F12" s="60">
        <f>IF(ISNUMBER(Profiles!G13),IF(ISNUMBER(Profiles!H13),MAX(0,1-(MAX(0,ABS('User Input'!$B$10-Profiles!G13)-Profiles!H13))/Profiles!H13/3),MAX(0,1-ABS('User Input'!$B$10-Profiles!G13)/(Profiles!G13*0.15)/3)),0.5)</f>
        <v/>
      </c>
      <c r="G12" s="60">
        <f>IF(ISNUMBER(Profiles!J13),MAX(0,1-ABS('User Input'!$B$12-Profiles!J13)/5/3),0.5)</f>
        <v/>
      </c>
      <c r="H12" s="60">
        <f>IF(ISNUMBER(Profiles!K13),MAX(0,1-ABS('User Input'!$B$14-Profiles!K13)/0.03/3),"n/a")</f>
        <v/>
      </c>
      <c r="I12" s="61">
        <f>100*MAX(0,1-(MAX(0,Profiles!M13-'User Input'!$B$17)+0.5*MAX(0,'User Input'!$B$17-Profiles!M13)+MAX(0,Profiles!N13-'User Input'!$B$18)+0.5*MAX(0,'User Input'!$B$18-Profiles!N13)+MAX(0,Profiles!O13-'User Input'!$B$19)+0.5*MAX(0,'User Input'!$B$19-Profiles!O13)+MAX(0,Profiles!P13-'User Input'!$B$20)+0.5*MAX(0,'User Input'!$B$20-Profiles!P13)+MAX(0,Profiles!Q13-'User Input'!$B$21)+0.5*MAX(0,'User Input'!$B$21-Profiles!Q13)+MAX(0,Profiles!S13-'User Input'!$B$22)+0.5*MAX(0,'User Input'!$B$22-Profiles!S13)+MAX(0,Profiles!T13-'User Input'!$B$23)+0.5*MAX(0,'User Input'!$B$23-Profiles!T13)+MAX(0,Profiles!U13-'User Input'!$B$24)+0.5*MAX(0,'User Input'!$B$24-Profiles!U13))/40)</f>
        <v/>
      </c>
      <c r="J12" s="61">
        <f>ROUND(60*(E12+F12+G12+IFERROR(VALUE(H12),(E12+F12+G12)/3))/4 + 0.4*I12,1)</f>
        <v/>
      </c>
      <c r="K12" s="60">
        <f>IF(OR(AND('User Input'!$B$6="M",Profiles!$AG13="M"),AND('User Input'!$B$6="F",Profiles!$AG13="F")),1,0)</f>
        <v/>
      </c>
      <c r="L12" s="60">
        <f>IF('User Input'!$B$27="Either",(IF(Profiles!V13&gt;=4,1,0.3)+IF(OR(Profiles!V13&lt;=2,ISNUMBER(SEARCH("Individual",Profiles!D13))),1,0.3))/2,IF('User Input'!$B$27="Team",IF(Profiles!V13&gt;=4,1,0.3),IF(OR(Profiles!V13&lt;=2,ISNUMBER(SEARCH("Individual",Profiles!D13))),1,0.3)))</f>
        <v/>
      </c>
      <c r="M12" s="60">
        <f>IF(IFERROR(MATCH(Profiles!W13,{"None","Light","Medium","Heavy"},0)-1,0)&lt;=IFERROR(MATCH('User Input'!$B$28,{"None","Light","Medium","Heavy"},0)-1,3),1,MAX(0,1-0.4*(IFERROR(MATCH(Profiles!W13,{"None","Light","Medium","Heavy"},0)-1,0)-IFERROR(MATCH('User Input'!$B$28,{"None","Light","Medium","Heavy"},0)-1,3))))</f>
        <v/>
      </c>
      <c r="N12" s="60">
        <f>IF('User Input'!$B$29="neutral",1,IF('User Input'!$B$29="essential",IF(ISNUMBER(SEARCH("Outdoor",Profiles!X13)),1,0.3),IF('User Input'!$B$29="nice",IF(ISNUMBER(SEARCH("Outdoor",Profiles!X13)),1,0.65),IF('User Input'!$B$29="indoor",IF(ISNUMBER(SEARCH("Indoor",Profiles!X13)),1,0.4),1))))</f>
        <v/>
      </c>
      <c r="O12" s="60">
        <f>IF('User Input'!$B$30="Yes",1,IF(Profiles!Y13="Yes",0,1))</f>
        <v/>
      </c>
      <c r="P12" s="60">
        <f>IF(IFERROR(MATCH(Profiles!Z13,{"Low","Medium","High"},0),2)&lt;=IFERROR(MATCH('User Input'!$B$31,{"Low","Medium","High"},0),2),1,MAX(0,1-0.4*(IFERROR(MATCH(Profiles!Z13,{"Low","Medium","High"},0),2)-IFERROR(MATCH('User Input'!$B$31,{"Low","Medium","High"},0),2))))</f>
        <v/>
      </c>
      <c r="Q12" s="60">
        <f>IF('User Input'!$B$32="Yes",IF(ISNUMBER(Profiles!AC13),Profiles!AC13/10,0.5),1)</f>
        <v/>
      </c>
      <c r="R12" s="61">
        <f>IF(OR(K12=0,O12=0),0,ROUND(MIN(100,100*(K12*0.1+L12*0.2+M12*0.2+N12*0.1+P12*0.15+Q12*0.25)*W12*X12*Y12*Z12),1))</f>
        <v/>
      </c>
      <c r="S12" s="61">
        <f>IF(R12=0,0,ROUND(0.5*J12+0.5*R12,1))</f>
        <v/>
      </c>
      <c r="T12" s="36">
        <f>J12-ROW()/1000000</f>
        <v/>
      </c>
      <c r="U12" s="36">
        <f>R12-ROW()/1000000</f>
        <v/>
      </c>
      <c r="V12" s="36">
        <f>S12-ROW()/1000000</f>
        <v/>
      </c>
      <c r="W12" s="36">
        <f>IF(OR(AND(OR(Profiles!D13="Team field",Profiles!D13="Team field contact",Profiles!D13="Team field stick"),'User Input'!$B$34="Yes"),AND(OR(Profiles!D13="Team court",Profiles!D13="Team court contact"),'User Input'!$B$35="Yes"),AND(Profiles!D13="Individual racquet",'User Input'!$B$36="Yes"),AND(OR(Profiles!D13="Combat striking",Profiles!D13="Combat grappling",Profiles!D13="Combat mixed"),'User Input'!$B$37="Yes"),AND(OR(Profiles!D13="Team water contact",Profiles!D13="Individual water"),'User Input'!$B$38="Yes"),AND(OR(Profiles!D13="Endurance individual",Profiles!D13="Endurance individual / pair",Profiles!D13="Endurance individual / pursuit",Profiles!D13="Endurance team / pair",Profiles!D13="Endurance multi"),'User Input'!$B$39="Yes"),AND(OR(Profiles!D13="Strength individual",Profiles!D13="Power-throw individual"),'User Input'!$B$40="Yes"),AND(OR(Profiles!D13="Individual technical",Profiles!D13="Individual aesthetic",Profiles!D13="Team precision"),'User Input'!$B$41="Yes")),1.15,1)</f>
        <v/>
      </c>
      <c r="X12" s="36">
        <f>IF('User Input'!$B$33&lt;&gt;"none",1,IF(IFERROR(VALUE(TRIM(MID(SUBSTITUTE(SUBSTITUTE(Profiles!AA13,"–","-"),"-",REPT(" ",100)),100,100)))&lt;=14,FALSE),0.7,1))</f>
        <v/>
      </c>
      <c r="Y12" s="36">
        <f>IF(OR('User Input'!$B$42="under30",'User Input'!$B$42=""),1,IF('User Input'!$B$42="30to45",IF((IFERROR(MATCH(Profiles!W13,{"None","Light","Medium","Heavy"},0)-1,0)+IFERROR(MATCH(Profiles!AB13,{"Low","Medium","High"},0)-1,0))&gt;=5,0.85,1),IF('User Input'!$B$42="46to60",IF((IFERROR(MATCH(Profiles!W13,{"None","Light","Medium","Heavy"},0)-1,0)+IFERROR(MATCH(Profiles!AB13,{"Low","Medium","High"},0)-1,0))&gt;=5,0.65,IF((IFERROR(MATCH(Profiles!W13,{"None","Light","Medium","Heavy"},0)-1,0)+IFERROR(MATCH(Profiles!AB13,{"Low","Medium","High"},0)-1,0))&gt;=4,0.8,IF((IFERROR(MATCH(Profiles!W13,{"None","Light","Medium","Heavy"},0)-1,0)+IFERROR(MATCH(Profiles!AB13,{"Low","Medium","High"},0)-1,0))&gt;=3,0.9,1))),IF((IFERROR(MATCH(Profiles!W13,{"None","Light","Medium","Heavy"},0)-1,0)+IFERROR(MATCH(Profiles!AB13,{"Low","Medium","High"},0)-1,0))&gt;=5,0.4,IF((IFERROR(MATCH(Profiles!W13,{"None","Light","Medium","Heavy"},0)-1,0)+IFERROR(MATCH(Profiles!AB13,{"Low","Medium","High"},0)-1,0))&gt;=4,0.6,IF((IFERROR(MATCH(Profiles!W13,{"None","Light","Medium","Heavy"},0)-1,0)+IFERROR(MATCH(Profiles!AB13,{"Low","Medium","High"},0)-1,0))&gt;=3,0.75,IF((IFERROR(MATCH(Profiles!W13,{"None","Light","Medium","Heavy"},0)-1,0)+IFERROR(MATCH(Profiles!AB13,{"Low","Medium","High"},0)-1,0))&gt;=2,0.85,1)))))))</f>
        <v/>
      </c>
      <c r="Z12" s="36">
        <f>IF(OR('User Input'!$B$43="none",'User Input'!$B$43=""),1,IF('User Input'!$B$43="minor",IF(IFERROR(MATCH(Profiles!W13,{"None","Light","Medium","Heavy"},0)-1,0)&gt;=3,0.7,IF(IFERROR(MATCH(Profiles!W13,{"None","Light","Medium","Heavy"},0)-1,0)&gt;=2,0.85,1)),IF('User Input'!$B$43="joint",IF(OR(IFERROR(MATCH(Profiles!W13,{"None","Light","Medium","Heavy"},0)-1,0)&gt;=3,IFERROR(MATCH(Profiles!AB13,{"Low","Medium","High"},0)-1,0)&gt;=2),0.5,IF(OR(IFERROR(MATCH(Profiles!W13,{"None","Light","Medium","Heavy"},0)-1,0)&gt;=2,IFERROR(MATCH(Profiles!AB13,{"Low","Medium","High"},0)-1,0)&gt;=1),0.75,1)),IF(OR(IFERROR(MATCH(Profiles!W13,{"None","Light","Medium","Heavy"},0)-1,0)&gt;=2,IFERROR(MATCH(Profiles!AB13,{"Low","Medium","High"},0)-1,0)&gt;=2),0.3,IF(OR(IFERROR(MATCH(Profiles!W13,{"None","Light","Medium","Heavy"},0)-1,0)&gt;=1,IFERROR(MATCH(Profiles!AB13,{"Low","Medium","High"},0)-1,0)&gt;=1),0.6,0.9)))))</f>
        <v/>
      </c>
    </row>
    <row r="13" ht="15" customHeight="1" s="37">
      <c r="A13" s="59">
        <f>Profiles!A14</f>
        <v/>
      </c>
      <c r="B13" s="59">
        <f>Profiles!B14</f>
        <v/>
      </c>
      <c r="C13" s="59">
        <f>Profiles!C14</f>
        <v/>
      </c>
      <c r="D13" s="59">
        <f>Profiles!D14</f>
        <v/>
      </c>
      <c r="E13" s="60">
        <f>IF(ISNUMBER(Profiles!E14),IF(ISNUMBER(Profiles!F14),MAX(0,1-(MAX(0,ABS('User Input'!$B$9-Profiles!E14)-Profiles!F14))/Profiles!F14/3),MAX(0,1-ABS('User Input'!$B$9-Profiles!E14)/(Profiles!E14*0.1)/3)),0.5)</f>
        <v/>
      </c>
      <c r="F13" s="60">
        <f>IF(ISNUMBER(Profiles!G14),IF(ISNUMBER(Profiles!H14),MAX(0,1-(MAX(0,ABS('User Input'!$B$10-Profiles!G14)-Profiles!H14))/Profiles!H14/3),MAX(0,1-ABS('User Input'!$B$10-Profiles!G14)/(Profiles!G14*0.15)/3)),0.5)</f>
        <v/>
      </c>
      <c r="G13" s="60">
        <f>IF(ISNUMBER(Profiles!J14),MAX(0,1-ABS('User Input'!$B$12-Profiles!J14)/5/3),0.5)</f>
        <v/>
      </c>
      <c r="H13" s="60">
        <f>IF(ISNUMBER(Profiles!K14),MAX(0,1-ABS('User Input'!$B$14-Profiles!K14)/0.03/3),"n/a")</f>
        <v/>
      </c>
      <c r="I13" s="61">
        <f>100*MAX(0,1-(MAX(0,Profiles!M14-'User Input'!$B$17)+0.5*MAX(0,'User Input'!$B$17-Profiles!M14)+MAX(0,Profiles!N14-'User Input'!$B$18)+0.5*MAX(0,'User Input'!$B$18-Profiles!N14)+MAX(0,Profiles!O14-'User Input'!$B$19)+0.5*MAX(0,'User Input'!$B$19-Profiles!O14)+MAX(0,Profiles!P14-'User Input'!$B$20)+0.5*MAX(0,'User Input'!$B$20-Profiles!P14)+MAX(0,Profiles!Q14-'User Input'!$B$21)+0.5*MAX(0,'User Input'!$B$21-Profiles!Q14)+MAX(0,Profiles!S14-'User Input'!$B$22)+0.5*MAX(0,'User Input'!$B$22-Profiles!S14)+MAX(0,Profiles!T14-'User Input'!$B$23)+0.5*MAX(0,'User Input'!$B$23-Profiles!T14)+MAX(0,Profiles!U14-'User Input'!$B$24)+0.5*MAX(0,'User Input'!$B$24-Profiles!U14))/40)</f>
        <v/>
      </c>
      <c r="J13" s="61">
        <f>ROUND(60*(E13+F13+G13+IFERROR(VALUE(H13),(E13+F13+G13)/3))/4 + 0.4*I13,1)</f>
        <v/>
      </c>
      <c r="K13" s="60">
        <f>IF(OR(AND('User Input'!$B$6="M",Profiles!$AG14="M"),AND('User Input'!$B$6="F",Profiles!$AG14="F")),1,0)</f>
        <v/>
      </c>
      <c r="L13" s="60">
        <f>IF('User Input'!$B$27="Either",(IF(Profiles!V14&gt;=4,1,0.3)+IF(OR(Profiles!V14&lt;=2,ISNUMBER(SEARCH("Individual",Profiles!D14))),1,0.3))/2,IF('User Input'!$B$27="Team",IF(Profiles!V14&gt;=4,1,0.3),IF(OR(Profiles!V14&lt;=2,ISNUMBER(SEARCH("Individual",Profiles!D14))),1,0.3)))</f>
        <v/>
      </c>
      <c r="M13" s="60">
        <f>IF(IFERROR(MATCH(Profiles!W14,{"None","Light","Medium","Heavy"},0)-1,0)&lt;=IFERROR(MATCH('User Input'!$B$28,{"None","Light","Medium","Heavy"},0)-1,3),1,MAX(0,1-0.4*(IFERROR(MATCH(Profiles!W14,{"None","Light","Medium","Heavy"},0)-1,0)-IFERROR(MATCH('User Input'!$B$28,{"None","Light","Medium","Heavy"},0)-1,3))))</f>
        <v/>
      </c>
      <c r="N13" s="60">
        <f>IF('User Input'!$B$29="neutral",1,IF('User Input'!$B$29="essential",IF(ISNUMBER(SEARCH("Outdoor",Profiles!X14)),1,0.3),IF('User Input'!$B$29="nice",IF(ISNUMBER(SEARCH("Outdoor",Profiles!X14)),1,0.65),IF('User Input'!$B$29="indoor",IF(ISNUMBER(SEARCH("Indoor",Profiles!X14)),1,0.4),1))))</f>
        <v/>
      </c>
      <c r="O13" s="60">
        <f>IF('User Input'!$B$30="Yes",1,IF(Profiles!Y14="Yes",0,1))</f>
        <v/>
      </c>
      <c r="P13" s="60">
        <f>IF(IFERROR(MATCH(Profiles!Z14,{"Low","Medium","High"},0),2)&lt;=IFERROR(MATCH('User Input'!$B$31,{"Low","Medium","High"},0),2),1,MAX(0,1-0.4*(IFERROR(MATCH(Profiles!Z14,{"Low","Medium","High"},0),2)-IFERROR(MATCH('User Input'!$B$31,{"Low","Medium","High"},0),2))))</f>
        <v/>
      </c>
      <c r="Q13" s="60">
        <f>IF('User Input'!$B$32="Yes",IF(ISNUMBER(Profiles!AC14),Profiles!AC14/10,0.5),1)</f>
        <v/>
      </c>
      <c r="R13" s="61">
        <f>IF(OR(K13=0,O13=0),0,ROUND(MIN(100,100*(K13*0.1+L13*0.2+M13*0.2+N13*0.1+P13*0.15+Q13*0.25)*W13*X13*Y13*Z13),1))</f>
        <v/>
      </c>
      <c r="S13" s="61">
        <f>IF(R13=0,0,ROUND(0.5*J13+0.5*R13,1))</f>
        <v/>
      </c>
      <c r="T13" s="36">
        <f>J13-ROW()/1000000</f>
        <v/>
      </c>
      <c r="U13" s="36">
        <f>R13-ROW()/1000000</f>
        <v/>
      </c>
      <c r="V13" s="36">
        <f>S13-ROW()/1000000</f>
        <v/>
      </c>
      <c r="W13" s="36">
        <f>IF(OR(AND(OR(Profiles!D14="Team field",Profiles!D14="Team field contact",Profiles!D14="Team field stick"),'User Input'!$B$34="Yes"),AND(OR(Profiles!D14="Team court",Profiles!D14="Team court contact"),'User Input'!$B$35="Yes"),AND(Profiles!D14="Individual racquet",'User Input'!$B$36="Yes"),AND(OR(Profiles!D14="Combat striking",Profiles!D14="Combat grappling",Profiles!D14="Combat mixed"),'User Input'!$B$37="Yes"),AND(OR(Profiles!D14="Team water contact",Profiles!D14="Individual water"),'User Input'!$B$38="Yes"),AND(OR(Profiles!D14="Endurance individual",Profiles!D14="Endurance individual / pair",Profiles!D14="Endurance individual / pursuit",Profiles!D14="Endurance team / pair",Profiles!D14="Endurance multi"),'User Input'!$B$39="Yes"),AND(OR(Profiles!D14="Strength individual",Profiles!D14="Power-throw individual"),'User Input'!$B$40="Yes"),AND(OR(Profiles!D14="Individual technical",Profiles!D14="Individual aesthetic",Profiles!D14="Team precision"),'User Input'!$B$41="Yes")),1.15,1)</f>
        <v/>
      </c>
      <c r="X13" s="36">
        <f>IF('User Input'!$B$33&lt;&gt;"none",1,IF(IFERROR(VALUE(TRIM(MID(SUBSTITUTE(SUBSTITUTE(Profiles!AA14,"–","-"),"-",REPT(" ",100)),100,100)))&lt;=14,FALSE),0.7,1))</f>
        <v/>
      </c>
      <c r="Y13" s="36">
        <f>IF(OR('User Input'!$B$42="under30",'User Input'!$B$42=""),1,IF('User Input'!$B$42="30to45",IF((IFERROR(MATCH(Profiles!W14,{"None","Light","Medium","Heavy"},0)-1,0)+IFERROR(MATCH(Profiles!AB14,{"Low","Medium","High"},0)-1,0))&gt;=5,0.85,1),IF('User Input'!$B$42="46to60",IF((IFERROR(MATCH(Profiles!W14,{"None","Light","Medium","Heavy"},0)-1,0)+IFERROR(MATCH(Profiles!AB14,{"Low","Medium","High"},0)-1,0))&gt;=5,0.65,IF((IFERROR(MATCH(Profiles!W14,{"None","Light","Medium","Heavy"},0)-1,0)+IFERROR(MATCH(Profiles!AB14,{"Low","Medium","High"},0)-1,0))&gt;=4,0.8,IF((IFERROR(MATCH(Profiles!W14,{"None","Light","Medium","Heavy"},0)-1,0)+IFERROR(MATCH(Profiles!AB14,{"Low","Medium","High"},0)-1,0))&gt;=3,0.9,1))),IF((IFERROR(MATCH(Profiles!W14,{"None","Light","Medium","Heavy"},0)-1,0)+IFERROR(MATCH(Profiles!AB14,{"Low","Medium","High"},0)-1,0))&gt;=5,0.4,IF((IFERROR(MATCH(Profiles!W14,{"None","Light","Medium","Heavy"},0)-1,0)+IFERROR(MATCH(Profiles!AB14,{"Low","Medium","High"},0)-1,0))&gt;=4,0.6,IF((IFERROR(MATCH(Profiles!W14,{"None","Light","Medium","Heavy"},0)-1,0)+IFERROR(MATCH(Profiles!AB14,{"Low","Medium","High"},0)-1,0))&gt;=3,0.75,IF((IFERROR(MATCH(Profiles!W14,{"None","Light","Medium","Heavy"},0)-1,0)+IFERROR(MATCH(Profiles!AB14,{"Low","Medium","High"},0)-1,0))&gt;=2,0.85,1)))))))</f>
        <v/>
      </c>
      <c r="Z13" s="36">
        <f>IF(OR('User Input'!$B$43="none",'User Input'!$B$43=""),1,IF('User Input'!$B$43="minor",IF(IFERROR(MATCH(Profiles!W14,{"None","Light","Medium","Heavy"},0)-1,0)&gt;=3,0.7,IF(IFERROR(MATCH(Profiles!W14,{"None","Light","Medium","Heavy"},0)-1,0)&gt;=2,0.85,1)),IF('User Input'!$B$43="joint",IF(OR(IFERROR(MATCH(Profiles!W14,{"None","Light","Medium","Heavy"},0)-1,0)&gt;=3,IFERROR(MATCH(Profiles!AB14,{"Low","Medium","High"},0)-1,0)&gt;=2),0.5,IF(OR(IFERROR(MATCH(Profiles!W14,{"None","Light","Medium","Heavy"},0)-1,0)&gt;=2,IFERROR(MATCH(Profiles!AB14,{"Low","Medium","High"},0)-1,0)&gt;=1),0.75,1)),IF(OR(IFERROR(MATCH(Profiles!W14,{"None","Light","Medium","Heavy"},0)-1,0)&gt;=2,IFERROR(MATCH(Profiles!AB14,{"Low","Medium","High"},0)-1,0)&gt;=2),0.3,IF(OR(IFERROR(MATCH(Profiles!W14,{"None","Light","Medium","Heavy"},0)-1,0)&gt;=1,IFERROR(MATCH(Profiles!AB14,{"Low","Medium","High"},0)-1,0)&gt;=1),0.6,0.9)))))</f>
        <v/>
      </c>
    </row>
    <row r="14" ht="15" customHeight="1" s="37">
      <c r="A14" s="59">
        <f>Profiles!A15</f>
        <v/>
      </c>
      <c r="B14" s="59">
        <f>Profiles!B15</f>
        <v/>
      </c>
      <c r="C14" s="59">
        <f>Profiles!C15</f>
        <v/>
      </c>
      <c r="D14" s="59">
        <f>Profiles!D15</f>
        <v/>
      </c>
      <c r="E14" s="60">
        <f>IF(ISNUMBER(Profiles!E15),IF(ISNUMBER(Profiles!F15),MAX(0,1-(MAX(0,ABS('User Input'!$B$9-Profiles!E15)-Profiles!F15))/Profiles!F15/3),MAX(0,1-ABS('User Input'!$B$9-Profiles!E15)/(Profiles!E15*0.1)/3)),0.5)</f>
        <v/>
      </c>
      <c r="F14" s="60">
        <f>IF(ISNUMBER(Profiles!G15),IF(ISNUMBER(Profiles!H15),MAX(0,1-(MAX(0,ABS('User Input'!$B$10-Profiles!G15)-Profiles!H15))/Profiles!H15/3),MAX(0,1-ABS('User Input'!$B$10-Profiles!G15)/(Profiles!G15*0.15)/3)),0.5)</f>
        <v/>
      </c>
      <c r="G14" s="60">
        <f>IF(ISNUMBER(Profiles!J15),MAX(0,1-ABS('User Input'!$B$12-Profiles!J15)/5/3),0.5)</f>
        <v/>
      </c>
      <c r="H14" s="60">
        <f>IF(ISNUMBER(Profiles!K15),MAX(0,1-ABS('User Input'!$B$14-Profiles!K15)/0.03/3),"n/a")</f>
        <v/>
      </c>
      <c r="I14" s="61">
        <f>100*MAX(0,1-(MAX(0,Profiles!M15-'User Input'!$B$17)+0.5*MAX(0,'User Input'!$B$17-Profiles!M15)+MAX(0,Profiles!N15-'User Input'!$B$18)+0.5*MAX(0,'User Input'!$B$18-Profiles!N15)+MAX(0,Profiles!O15-'User Input'!$B$19)+0.5*MAX(0,'User Input'!$B$19-Profiles!O15)+MAX(0,Profiles!P15-'User Input'!$B$20)+0.5*MAX(0,'User Input'!$B$20-Profiles!P15)+MAX(0,Profiles!Q15-'User Input'!$B$21)+0.5*MAX(0,'User Input'!$B$21-Profiles!Q15)+MAX(0,Profiles!S15-'User Input'!$B$22)+0.5*MAX(0,'User Input'!$B$22-Profiles!S15)+MAX(0,Profiles!T15-'User Input'!$B$23)+0.5*MAX(0,'User Input'!$B$23-Profiles!T15)+MAX(0,Profiles!U15-'User Input'!$B$24)+0.5*MAX(0,'User Input'!$B$24-Profiles!U15))/40)</f>
        <v/>
      </c>
      <c r="J14" s="61">
        <f>ROUND(60*(E14+F14+G14+IFERROR(VALUE(H14),(E14+F14+G14)/3))/4 + 0.4*I14,1)</f>
        <v/>
      </c>
      <c r="K14" s="60">
        <f>IF(OR(AND('User Input'!$B$6="M",Profiles!$AG15="M"),AND('User Input'!$B$6="F",Profiles!$AG15="F")),1,0)</f>
        <v/>
      </c>
      <c r="L14" s="60">
        <f>IF('User Input'!$B$27="Either",(IF(Profiles!V15&gt;=4,1,0.3)+IF(OR(Profiles!V15&lt;=2,ISNUMBER(SEARCH("Individual",Profiles!D15))),1,0.3))/2,IF('User Input'!$B$27="Team",IF(Profiles!V15&gt;=4,1,0.3),IF(OR(Profiles!V15&lt;=2,ISNUMBER(SEARCH("Individual",Profiles!D15))),1,0.3)))</f>
        <v/>
      </c>
      <c r="M14" s="60">
        <f>IF(IFERROR(MATCH(Profiles!W15,{"None","Light","Medium","Heavy"},0)-1,0)&lt;=IFERROR(MATCH('User Input'!$B$28,{"None","Light","Medium","Heavy"},0)-1,3),1,MAX(0,1-0.4*(IFERROR(MATCH(Profiles!W15,{"None","Light","Medium","Heavy"},0)-1,0)-IFERROR(MATCH('User Input'!$B$28,{"None","Light","Medium","Heavy"},0)-1,3))))</f>
        <v/>
      </c>
      <c r="N14" s="60">
        <f>IF('User Input'!$B$29="neutral",1,IF('User Input'!$B$29="essential",IF(ISNUMBER(SEARCH("Outdoor",Profiles!X15)),1,0.3),IF('User Input'!$B$29="nice",IF(ISNUMBER(SEARCH("Outdoor",Profiles!X15)),1,0.65),IF('User Input'!$B$29="indoor",IF(ISNUMBER(SEARCH("Indoor",Profiles!X15)),1,0.4),1))))</f>
        <v/>
      </c>
      <c r="O14" s="60">
        <f>IF('User Input'!$B$30="Yes",1,IF(Profiles!Y15="Yes",0,1))</f>
        <v/>
      </c>
      <c r="P14" s="60">
        <f>IF(IFERROR(MATCH(Profiles!Z15,{"Low","Medium","High"},0),2)&lt;=IFERROR(MATCH('User Input'!$B$31,{"Low","Medium","High"},0),2),1,MAX(0,1-0.4*(IFERROR(MATCH(Profiles!Z15,{"Low","Medium","High"},0),2)-IFERROR(MATCH('User Input'!$B$31,{"Low","Medium","High"},0),2))))</f>
        <v/>
      </c>
      <c r="Q14" s="60">
        <f>IF('User Input'!$B$32="Yes",IF(ISNUMBER(Profiles!AC15),Profiles!AC15/10,0.5),1)</f>
        <v/>
      </c>
      <c r="R14" s="61">
        <f>IF(OR(K14=0,O14=0),0,ROUND(MIN(100,100*(K14*0.1+L14*0.2+M14*0.2+N14*0.1+P14*0.15+Q14*0.25)*W14*X14*Y14*Z14),1))</f>
        <v/>
      </c>
      <c r="S14" s="61">
        <f>IF(R14=0,0,ROUND(0.5*J14+0.5*R14,1))</f>
        <v/>
      </c>
      <c r="T14" s="36">
        <f>J14-ROW()/1000000</f>
        <v/>
      </c>
      <c r="U14" s="36">
        <f>R14-ROW()/1000000</f>
        <v/>
      </c>
      <c r="V14" s="36">
        <f>S14-ROW()/1000000</f>
        <v/>
      </c>
      <c r="W14" s="36">
        <f>IF(OR(AND(OR(Profiles!D15="Team field",Profiles!D15="Team field contact",Profiles!D15="Team field stick"),'User Input'!$B$34="Yes"),AND(OR(Profiles!D15="Team court",Profiles!D15="Team court contact"),'User Input'!$B$35="Yes"),AND(Profiles!D15="Individual racquet",'User Input'!$B$36="Yes"),AND(OR(Profiles!D15="Combat striking",Profiles!D15="Combat grappling",Profiles!D15="Combat mixed"),'User Input'!$B$37="Yes"),AND(OR(Profiles!D15="Team water contact",Profiles!D15="Individual water"),'User Input'!$B$38="Yes"),AND(OR(Profiles!D15="Endurance individual",Profiles!D15="Endurance individual / pair",Profiles!D15="Endurance individual / pursuit",Profiles!D15="Endurance team / pair",Profiles!D15="Endurance multi"),'User Input'!$B$39="Yes"),AND(OR(Profiles!D15="Strength individual",Profiles!D15="Power-throw individual"),'User Input'!$B$40="Yes"),AND(OR(Profiles!D15="Individual technical",Profiles!D15="Individual aesthetic",Profiles!D15="Team precision"),'User Input'!$B$41="Yes")),1.15,1)</f>
        <v/>
      </c>
      <c r="X14" s="36">
        <f>IF('User Input'!$B$33&lt;&gt;"none",1,IF(IFERROR(VALUE(TRIM(MID(SUBSTITUTE(SUBSTITUTE(Profiles!AA15,"–","-"),"-",REPT(" ",100)),100,100)))&lt;=14,FALSE),0.7,1))</f>
        <v/>
      </c>
      <c r="Y14" s="36">
        <f>IF(OR('User Input'!$B$42="under30",'User Input'!$B$42=""),1,IF('User Input'!$B$42="30to45",IF((IFERROR(MATCH(Profiles!W15,{"None","Light","Medium","Heavy"},0)-1,0)+IFERROR(MATCH(Profiles!AB15,{"Low","Medium","High"},0)-1,0))&gt;=5,0.85,1),IF('User Input'!$B$42="46to60",IF((IFERROR(MATCH(Profiles!W15,{"None","Light","Medium","Heavy"},0)-1,0)+IFERROR(MATCH(Profiles!AB15,{"Low","Medium","High"},0)-1,0))&gt;=5,0.65,IF((IFERROR(MATCH(Profiles!W15,{"None","Light","Medium","Heavy"},0)-1,0)+IFERROR(MATCH(Profiles!AB15,{"Low","Medium","High"},0)-1,0))&gt;=4,0.8,IF((IFERROR(MATCH(Profiles!W15,{"None","Light","Medium","Heavy"},0)-1,0)+IFERROR(MATCH(Profiles!AB15,{"Low","Medium","High"},0)-1,0))&gt;=3,0.9,1))),IF((IFERROR(MATCH(Profiles!W15,{"None","Light","Medium","Heavy"},0)-1,0)+IFERROR(MATCH(Profiles!AB15,{"Low","Medium","High"},0)-1,0))&gt;=5,0.4,IF((IFERROR(MATCH(Profiles!W15,{"None","Light","Medium","Heavy"},0)-1,0)+IFERROR(MATCH(Profiles!AB15,{"Low","Medium","High"},0)-1,0))&gt;=4,0.6,IF((IFERROR(MATCH(Profiles!W15,{"None","Light","Medium","Heavy"},0)-1,0)+IFERROR(MATCH(Profiles!AB15,{"Low","Medium","High"},0)-1,0))&gt;=3,0.75,IF((IFERROR(MATCH(Profiles!W15,{"None","Light","Medium","Heavy"},0)-1,0)+IFERROR(MATCH(Profiles!AB15,{"Low","Medium","High"},0)-1,0))&gt;=2,0.85,1)))))))</f>
        <v/>
      </c>
      <c r="Z14" s="36">
        <f>IF(OR('User Input'!$B$43="none",'User Input'!$B$43=""),1,IF('User Input'!$B$43="minor",IF(IFERROR(MATCH(Profiles!W15,{"None","Light","Medium","Heavy"},0)-1,0)&gt;=3,0.7,IF(IFERROR(MATCH(Profiles!W15,{"None","Light","Medium","Heavy"},0)-1,0)&gt;=2,0.85,1)),IF('User Input'!$B$43="joint",IF(OR(IFERROR(MATCH(Profiles!W15,{"None","Light","Medium","Heavy"},0)-1,0)&gt;=3,IFERROR(MATCH(Profiles!AB15,{"Low","Medium","High"},0)-1,0)&gt;=2),0.5,IF(OR(IFERROR(MATCH(Profiles!W15,{"None","Light","Medium","Heavy"},0)-1,0)&gt;=2,IFERROR(MATCH(Profiles!AB15,{"Low","Medium","High"},0)-1,0)&gt;=1),0.75,1)),IF(OR(IFERROR(MATCH(Profiles!W15,{"None","Light","Medium","Heavy"},0)-1,0)&gt;=2,IFERROR(MATCH(Profiles!AB15,{"Low","Medium","High"},0)-1,0)&gt;=2),0.3,IF(OR(IFERROR(MATCH(Profiles!W15,{"None","Light","Medium","Heavy"},0)-1,0)&gt;=1,IFERROR(MATCH(Profiles!AB15,{"Low","Medium","High"},0)-1,0)&gt;=1),0.6,0.9)))))</f>
        <v/>
      </c>
    </row>
    <row r="15" ht="23.25" customHeight="1" s="37">
      <c r="A15" s="59">
        <f>Profiles!A16</f>
        <v/>
      </c>
      <c r="B15" s="59">
        <f>Profiles!B16</f>
        <v/>
      </c>
      <c r="C15" s="59">
        <f>Profiles!C16</f>
        <v/>
      </c>
      <c r="D15" s="59">
        <f>Profiles!D16</f>
        <v/>
      </c>
      <c r="E15" s="60">
        <f>IF(ISNUMBER(Profiles!E16),IF(ISNUMBER(Profiles!F16),MAX(0,1-(MAX(0,ABS('User Input'!$B$9-Profiles!E16)-Profiles!F16))/Profiles!F16/3),MAX(0,1-ABS('User Input'!$B$9-Profiles!E16)/(Profiles!E16*0.1)/3)),0.5)</f>
        <v/>
      </c>
      <c r="F15" s="60">
        <f>IF(ISNUMBER(Profiles!G16),IF(ISNUMBER(Profiles!H16),MAX(0,1-(MAX(0,ABS('User Input'!$B$10-Profiles!G16)-Profiles!H16))/Profiles!H16/3),MAX(0,1-ABS('User Input'!$B$10-Profiles!G16)/(Profiles!G16*0.15)/3)),0.5)</f>
        <v/>
      </c>
      <c r="G15" s="60">
        <f>IF(ISNUMBER(Profiles!J16),MAX(0,1-ABS('User Input'!$B$12-Profiles!J16)/5/3),0.5)</f>
        <v/>
      </c>
      <c r="H15" s="60">
        <f>IF(ISNUMBER(Profiles!K16),MAX(0,1-ABS('User Input'!$B$14-Profiles!K16)/0.03/3),"n/a")</f>
        <v/>
      </c>
      <c r="I15" s="61">
        <f>100*MAX(0,1-(MAX(0,Profiles!M16-'User Input'!$B$17)+0.5*MAX(0,'User Input'!$B$17-Profiles!M16)+MAX(0,Profiles!N16-'User Input'!$B$18)+0.5*MAX(0,'User Input'!$B$18-Profiles!N16)+MAX(0,Profiles!O16-'User Input'!$B$19)+0.5*MAX(0,'User Input'!$B$19-Profiles!O16)+MAX(0,Profiles!P16-'User Input'!$B$20)+0.5*MAX(0,'User Input'!$B$20-Profiles!P16)+MAX(0,Profiles!Q16-'User Input'!$B$21)+0.5*MAX(0,'User Input'!$B$21-Profiles!Q16)+MAX(0,Profiles!S16-'User Input'!$B$22)+0.5*MAX(0,'User Input'!$B$22-Profiles!S16)+MAX(0,Profiles!T16-'User Input'!$B$23)+0.5*MAX(0,'User Input'!$B$23-Profiles!T16)+MAX(0,Profiles!U16-'User Input'!$B$24)+0.5*MAX(0,'User Input'!$B$24-Profiles!U16))/40)</f>
        <v/>
      </c>
      <c r="J15" s="61">
        <f>ROUND(60*(E15+F15+G15+IFERROR(VALUE(H15),(E15+F15+G15)/3))/4 + 0.4*I15,1)</f>
        <v/>
      </c>
      <c r="K15" s="60">
        <f>IF(OR(AND('User Input'!$B$6="M",Profiles!$AG16="M"),AND('User Input'!$B$6="F",Profiles!$AG16="F")),1,0)</f>
        <v/>
      </c>
      <c r="L15" s="60">
        <f>IF('User Input'!$B$27="Either",(IF(Profiles!V16&gt;=4,1,0.3)+IF(OR(Profiles!V16&lt;=2,ISNUMBER(SEARCH("Individual",Profiles!D16))),1,0.3))/2,IF('User Input'!$B$27="Team",IF(Profiles!V16&gt;=4,1,0.3),IF(OR(Profiles!V16&lt;=2,ISNUMBER(SEARCH("Individual",Profiles!D16))),1,0.3)))</f>
        <v/>
      </c>
      <c r="M15" s="60">
        <f>IF(IFERROR(MATCH(Profiles!W16,{"None","Light","Medium","Heavy"},0)-1,0)&lt;=IFERROR(MATCH('User Input'!$B$28,{"None","Light","Medium","Heavy"},0)-1,3),1,MAX(0,1-0.4*(IFERROR(MATCH(Profiles!W16,{"None","Light","Medium","Heavy"},0)-1,0)-IFERROR(MATCH('User Input'!$B$28,{"None","Light","Medium","Heavy"},0)-1,3))))</f>
        <v/>
      </c>
      <c r="N15" s="60">
        <f>IF('User Input'!$B$29="neutral",1,IF('User Input'!$B$29="essential",IF(ISNUMBER(SEARCH("Outdoor",Profiles!X16)),1,0.3),IF('User Input'!$B$29="nice",IF(ISNUMBER(SEARCH("Outdoor",Profiles!X16)),1,0.65),IF('User Input'!$B$29="indoor",IF(ISNUMBER(SEARCH("Indoor",Profiles!X16)),1,0.4),1))))</f>
        <v/>
      </c>
      <c r="O15" s="60">
        <f>IF('User Input'!$B$30="Yes",1,IF(Profiles!Y16="Yes",0,1))</f>
        <v/>
      </c>
      <c r="P15" s="60">
        <f>IF(IFERROR(MATCH(Profiles!Z16,{"Low","Medium","High"},0),2)&lt;=IFERROR(MATCH('User Input'!$B$31,{"Low","Medium","High"},0),2),1,MAX(0,1-0.4*(IFERROR(MATCH(Profiles!Z16,{"Low","Medium","High"},0),2)-IFERROR(MATCH('User Input'!$B$31,{"Low","Medium","High"},0),2))))</f>
        <v/>
      </c>
      <c r="Q15" s="60">
        <f>IF('User Input'!$B$32="Yes",IF(ISNUMBER(Profiles!AC16),Profiles!AC16/10,0.5),1)</f>
        <v/>
      </c>
      <c r="R15" s="61">
        <f>IF(OR(K15=0,O15=0),0,ROUND(MIN(100,100*(K15*0.1+L15*0.2+M15*0.2+N15*0.1+P15*0.15+Q15*0.25)*W15*X15*Y15*Z15),1))</f>
        <v/>
      </c>
      <c r="S15" s="61">
        <f>IF(R15=0,0,ROUND(0.5*J15+0.5*R15,1))</f>
        <v/>
      </c>
      <c r="T15" s="36">
        <f>J15-ROW()/1000000</f>
        <v/>
      </c>
      <c r="U15" s="36">
        <f>R15-ROW()/1000000</f>
        <v/>
      </c>
      <c r="V15" s="36">
        <f>S15-ROW()/1000000</f>
        <v/>
      </c>
      <c r="W15" s="36">
        <f>IF(OR(AND(OR(Profiles!D16="Team field",Profiles!D16="Team field contact",Profiles!D16="Team field stick"),'User Input'!$B$34="Yes"),AND(OR(Profiles!D16="Team court",Profiles!D16="Team court contact"),'User Input'!$B$35="Yes"),AND(Profiles!D16="Individual racquet",'User Input'!$B$36="Yes"),AND(OR(Profiles!D16="Combat striking",Profiles!D16="Combat grappling",Profiles!D16="Combat mixed"),'User Input'!$B$37="Yes"),AND(OR(Profiles!D16="Team water contact",Profiles!D16="Individual water"),'User Input'!$B$38="Yes"),AND(OR(Profiles!D16="Endurance individual",Profiles!D16="Endurance individual / pair",Profiles!D16="Endurance individual / pursuit",Profiles!D16="Endurance team / pair",Profiles!D16="Endurance multi"),'User Input'!$B$39="Yes"),AND(OR(Profiles!D16="Strength individual",Profiles!D16="Power-throw individual"),'User Input'!$B$40="Yes"),AND(OR(Profiles!D16="Individual technical",Profiles!D16="Individual aesthetic",Profiles!D16="Team precision"),'User Input'!$B$41="Yes")),1.15,1)</f>
        <v/>
      </c>
      <c r="X15" s="36">
        <f>IF('User Input'!$B$33&lt;&gt;"none",1,IF(IFERROR(VALUE(TRIM(MID(SUBSTITUTE(SUBSTITUTE(Profiles!AA16,"–","-"),"-",REPT(" ",100)),100,100)))&lt;=14,FALSE),0.7,1))</f>
        <v/>
      </c>
      <c r="Y15" s="36">
        <f>IF(OR('User Input'!$B$42="under30",'User Input'!$B$42=""),1,IF('User Input'!$B$42="30to45",IF((IFERROR(MATCH(Profiles!W16,{"None","Light","Medium","Heavy"},0)-1,0)+IFERROR(MATCH(Profiles!AB16,{"Low","Medium","High"},0)-1,0))&gt;=5,0.85,1),IF('User Input'!$B$42="46to60",IF((IFERROR(MATCH(Profiles!W16,{"None","Light","Medium","Heavy"},0)-1,0)+IFERROR(MATCH(Profiles!AB16,{"Low","Medium","High"},0)-1,0))&gt;=5,0.65,IF((IFERROR(MATCH(Profiles!W16,{"None","Light","Medium","Heavy"},0)-1,0)+IFERROR(MATCH(Profiles!AB16,{"Low","Medium","High"},0)-1,0))&gt;=4,0.8,IF((IFERROR(MATCH(Profiles!W16,{"None","Light","Medium","Heavy"},0)-1,0)+IFERROR(MATCH(Profiles!AB16,{"Low","Medium","High"},0)-1,0))&gt;=3,0.9,1))),IF((IFERROR(MATCH(Profiles!W16,{"None","Light","Medium","Heavy"},0)-1,0)+IFERROR(MATCH(Profiles!AB16,{"Low","Medium","High"},0)-1,0))&gt;=5,0.4,IF((IFERROR(MATCH(Profiles!W16,{"None","Light","Medium","Heavy"},0)-1,0)+IFERROR(MATCH(Profiles!AB16,{"Low","Medium","High"},0)-1,0))&gt;=4,0.6,IF((IFERROR(MATCH(Profiles!W16,{"None","Light","Medium","Heavy"},0)-1,0)+IFERROR(MATCH(Profiles!AB16,{"Low","Medium","High"},0)-1,0))&gt;=3,0.75,IF((IFERROR(MATCH(Profiles!W16,{"None","Light","Medium","Heavy"},0)-1,0)+IFERROR(MATCH(Profiles!AB16,{"Low","Medium","High"},0)-1,0))&gt;=2,0.85,1)))))))</f>
        <v/>
      </c>
      <c r="Z15" s="36">
        <f>IF(OR('User Input'!$B$43="none",'User Input'!$B$43=""),1,IF('User Input'!$B$43="minor",IF(IFERROR(MATCH(Profiles!W16,{"None","Light","Medium","Heavy"},0)-1,0)&gt;=3,0.7,IF(IFERROR(MATCH(Profiles!W16,{"None","Light","Medium","Heavy"},0)-1,0)&gt;=2,0.85,1)),IF('User Input'!$B$43="joint",IF(OR(IFERROR(MATCH(Profiles!W16,{"None","Light","Medium","Heavy"},0)-1,0)&gt;=3,IFERROR(MATCH(Profiles!AB16,{"Low","Medium","High"},0)-1,0)&gt;=2),0.5,IF(OR(IFERROR(MATCH(Profiles!W16,{"None","Light","Medium","Heavy"},0)-1,0)&gt;=2,IFERROR(MATCH(Profiles!AB16,{"Low","Medium","High"},0)-1,0)&gt;=1),0.75,1)),IF(OR(IFERROR(MATCH(Profiles!W16,{"None","Light","Medium","Heavy"},0)-1,0)&gt;=2,IFERROR(MATCH(Profiles!AB16,{"Low","Medium","High"},0)-1,0)&gt;=2),0.3,IF(OR(IFERROR(MATCH(Profiles!W16,{"None","Light","Medium","Heavy"},0)-1,0)&gt;=1,IFERROR(MATCH(Profiles!AB16,{"Low","Medium","High"},0)-1,0)&gt;=1),0.6,0.9)))))</f>
        <v/>
      </c>
    </row>
    <row r="16" ht="15" customHeight="1" s="37">
      <c r="A16" s="59">
        <f>Profiles!A17</f>
        <v/>
      </c>
      <c r="B16" s="59">
        <f>Profiles!B17</f>
        <v/>
      </c>
      <c r="C16" s="59">
        <f>Profiles!C17</f>
        <v/>
      </c>
      <c r="D16" s="59">
        <f>Profiles!D17</f>
        <v/>
      </c>
      <c r="E16" s="60">
        <f>IF(ISNUMBER(Profiles!E17),IF(ISNUMBER(Profiles!F17),MAX(0,1-(MAX(0,ABS('User Input'!$B$9-Profiles!E17)-Profiles!F17))/Profiles!F17/3),MAX(0,1-ABS('User Input'!$B$9-Profiles!E17)/(Profiles!E17*0.1)/3)),0.5)</f>
        <v/>
      </c>
      <c r="F16" s="60">
        <f>IF(ISNUMBER(Profiles!G17),IF(ISNUMBER(Profiles!H17),MAX(0,1-(MAX(0,ABS('User Input'!$B$10-Profiles!G17)-Profiles!H17))/Profiles!H17/3),MAX(0,1-ABS('User Input'!$B$10-Profiles!G17)/(Profiles!G17*0.15)/3)),0.5)</f>
        <v/>
      </c>
      <c r="G16" s="60">
        <f>IF(ISNUMBER(Profiles!J17),MAX(0,1-ABS('User Input'!$B$12-Profiles!J17)/5/3),0.5)</f>
        <v/>
      </c>
      <c r="H16" s="60">
        <f>IF(ISNUMBER(Profiles!K17),MAX(0,1-ABS('User Input'!$B$14-Profiles!K17)/0.03/3),"n/a")</f>
        <v/>
      </c>
      <c r="I16" s="61">
        <f>100*MAX(0,1-(MAX(0,Profiles!M17-'User Input'!$B$17)+0.5*MAX(0,'User Input'!$B$17-Profiles!M17)+MAX(0,Profiles!N17-'User Input'!$B$18)+0.5*MAX(0,'User Input'!$B$18-Profiles!N17)+MAX(0,Profiles!O17-'User Input'!$B$19)+0.5*MAX(0,'User Input'!$B$19-Profiles!O17)+MAX(0,Profiles!P17-'User Input'!$B$20)+0.5*MAX(0,'User Input'!$B$20-Profiles!P17)+MAX(0,Profiles!Q17-'User Input'!$B$21)+0.5*MAX(0,'User Input'!$B$21-Profiles!Q17)+MAX(0,Profiles!S17-'User Input'!$B$22)+0.5*MAX(0,'User Input'!$B$22-Profiles!S17)+MAX(0,Profiles!T17-'User Input'!$B$23)+0.5*MAX(0,'User Input'!$B$23-Profiles!T17)+MAX(0,Profiles!U17-'User Input'!$B$24)+0.5*MAX(0,'User Input'!$B$24-Profiles!U17))/40)</f>
        <v/>
      </c>
      <c r="J16" s="61">
        <f>ROUND(60*(E16+F16+G16+IFERROR(VALUE(H16),(E16+F16+G16)/3))/4 + 0.4*I16,1)</f>
        <v/>
      </c>
      <c r="K16" s="60">
        <f>IF(OR(AND('User Input'!$B$6="M",Profiles!$AG17="M"),AND('User Input'!$B$6="F",Profiles!$AG17="F")),1,0)</f>
        <v/>
      </c>
      <c r="L16" s="60">
        <f>IF('User Input'!$B$27="Either",(IF(Profiles!V17&gt;=4,1,0.3)+IF(OR(Profiles!V17&lt;=2,ISNUMBER(SEARCH("Individual",Profiles!D17))),1,0.3))/2,IF('User Input'!$B$27="Team",IF(Profiles!V17&gt;=4,1,0.3),IF(OR(Profiles!V17&lt;=2,ISNUMBER(SEARCH("Individual",Profiles!D17))),1,0.3)))</f>
        <v/>
      </c>
      <c r="M16" s="60">
        <f>IF(IFERROR(MATCH(Profiles!W17,{"None","Light","Medium","Heavy"},0)-1,0)&lt;=IFERROR(MATCH('User Input'!$B$28,{"None","Light","Medium","Heavy"},0)-1,3),1,MAX(0,1-0.4*(IFERROR(MATCH(Profiles!W17,{"None","Light","Medium","Heavy"},0)-1,0)-IFERROR(MATCH('User Input'!$B$28,{"None","Light","Medium","Heavy"},0)-1,3))))</f>
        <v/>
      </c>
      <c r="N16" s="60">
        <f>IF('User Input'!$B$29="neutral",1,IF('User Input'!$B$29="essential",IF(ISNUMBER(SEARCH("Outdoor",Profiles!X17)),1,0.3),IF('User Input'!$B$29="nice",IF(ISNUMBER(SEARCH("Outdoor",Profiles!X17)),1,0.65),IF('User Input'!$B$29="indoor",IF(ISNUMBER(SEARCH("Indoor",Profiles!X17)),1,0.4),1))))</f>
        <v/>
      </c>
      <c r="O16" s="60">
        <f>IF('User Input'!$B$30="Yes",1,IF(Profiles!Y17="Yes",0,1))</f>
        <v/>
      </c>
      <c r="P16" s="60">
        <f>IF(IFERROR(MATCH(Profiles!Z17,{"Low","Medium","High"},0),2)&lt;=IFERROR(MATCH('User Input'!$B$31,{"Low","Medium","High"},0),2),1,MAX(0,1-0.4*(IFERROR(MATCH(Profiles!Z17,{"Low","Medium","High"},0),2)-IFERROR(MATCH('User Input'!$B$31,{"Low","Medium","High"},0),2))))</f>
        <v/>
      </c>
      <c r="Q16" s="60">
        <f>IF('User Input'!$B$32="Yes",IF(ISNUMBER(Profiles!AC17),Profiles!AC17/10,0.5),1)</f>
        <v/>
      </c>
      <c r="R16" s="61">
        <f>IF(OR(K16=0,O16=0),0,ROUND(MIN(100,100*(K16*0.1+L16*0.2+M16*0.2+N16*0.1+P16*0.15+Q16*0.25)*W16*X16*Y16*Z16),1))</f>
        <v/>
      </c>
      <c r="S16" s="61">
        <f>IF(R16=0,0,ROUND(0.5*J16+0.5*R16,1))</f>
        <v/>
      </c>
      <c r="T16" s="36">
        <f>J16-ROW()/1000000</f>
        <v/>
      </c>
      <c r="U16" s="36">
        <f>R16-ROW()/1000000</f>
        <v/>
      </c>
      <c r="V16" s="36">
        <f>S16-ROW()/1000000</f>
        <v/>
      </c>
      <c r="W16" s="36">
        <f>IF(OR(AND(OR(Profiles!D17="Team field",Profiles!D17="Team field contact",Profiles!D17="Team field stick"),'User Input'!$B$34="Yes"),AND(OR(Profiles!D17="Team court",Profiles!D17="Team court contact"),'User Input'!$B$35="Yes"),AND(Profiles!D17="Individual racquet",'User Input'!$B$36="Yes"),AND(OR(Profiles!D17="Combat striking",Profiles!D17="Combat grappling",Profiles!D17="Combat mixed"),'User Input'!$B$37="Yes"),AND(OR(Profiles!D17="Team water contact",Profiles!D17="Individual water"),'User Input'!$B$38="Yes"),AND(OR(Profiles!D17="Endurance individual",Profiles!D17="Endurance individual / pair",Profiles!D17="Endurance individual / pursuit",Profiles!D17="Endurance team / pair",Profiles!D17="Endurance multi"),'User Input'!$B$39="Yes"),AND(OR(Profiles!D17="Strength individual",Profiles!D17="Power-throw individual"),'User Input'!$B$40="Yes"),AND(OR(Profiles!D17="Individual technical",Profiles!D17="Individual aesthetic",Profiles!D17="Team precision"),'User Input'!$B$41="Yes")),1.15,1)</f>
        <v/>
      </c>
      <c r="X16" s="36">
        <f>IF('User Input'!$B$33&lt;&gt;"none",1,IF(IFERROR(VALUE(TRIM(MID(SUBSTITUTE(SUBSTITUTE(Profiles!AA17,"–","-"),"-",REPT(" ",100)),100,100)))&lt;=14,FALSE),0.7,1))</f>
        <v/>
      </c>
      <c r="Y16" s="36">
        <f>IF(OR('User Input'!$B$42="under30",'User Input'!$B$42=""),1,IF('User Input'!$B$42="30to45",IF((IFERROR(MATCH(Profiles!W17,{"None","Light","Medium","Heavy"},0)-1,0)+IFERROR(MATCH(Profiles!AB17,{"Low","Medium","High"},0)-1,0))&gt;=5,0.85,1),IF('User Input'!$B$42="46to60",IF((IFERROR(MATCH(Profiles!W17,{"None","Light","Medium","Heavy"},0)-1,0)+IFERROR(MATCH(Profiles!AB17,{"Low","Medium","High"},0)-1,0))&gt;=5,0.65,IF((IFERROR(MATCH(Profiles!W17,{"None","Light","Medium","Heavy"},0)-1,0)+IFERROR(MATCH(Profiles!AB17,{"Low","Medium","High"},0)-1,0))&gt;=4,0.8,IF((IFERROR(MATCH(Profiles!W17,{"None","Light","Medium","Heavy"},0)-1,0)+IFERROR(MATCH(Profiles!AB17,{"Low","Medium","High"},0)-1,0))&gt;=3,0.9,1))),IF((IFERROR(MATCH(Profiles!W17,{"None","Light","Medium","Heavy"},0)-1,0)+IFERROR(MATCH(Profiles!AB17,{"Low","Medium","High"},0)-1,0))&gt;=5,0.4,IF((IFERROR(MATCH(Profiles!W17,{"None","Light","Medium","Heavy"},0)-1,0)+IFERROR(MATCH(Profiles!AB17,{"Low","Medium","High"},0)-1,0))&gt;=4,0.6,IF((IFERROR(MATCH(Profiles!W17,{"None","Light","Medium","Heavy"},0)-1,0)+IFERROR(MATCH(Profiles!AB17,{"Low","Medium","High"},0)-1,0))&gt;=3,0.75,IF((IFERROR(MATCH(Profiles!W17,{"None","Light","Medium","Heavy"},0)-1,0)+IFERROR(MATCH(Profiles!AB17,{"Low","Medium","High"},0)-1,0))&gt;=2,0.85,1)))))))</f>
        <v/>
      </c>
      <c r="Z16" s="36">
        <f>IF(OR('User Input'!$B$43="none",'User Input'!$B$43=""),1,IF('User Input'!$B$43="minor",IF(IFERROR(MATCH(Profiles!W17,{"None","Light","Medium","Heavy"},0)-1,0)&gt;=3,0.7,IF(IFERROR(MATCH(Profiles!W17,{"None","Light","Medium","Heavy"},0)-1,0)&gt;=2,0.85,1)),IF('User Input'!$B$43="joint",IF(OR(IFERROR(MATCH(Profiles!W17,{"None","Light","Medium","Heavy"},0)-1,0)&gt;=3,IFERROR(MATCH(Profiles!AB17,{"Low","Medium","High"},0)-1,0)&gt;=2),0.5,IF(OR(IFERROR(MATCH(Profiles!W17,{"None","Light","Medium","Heavy"},0)-1,0)&gt;=2,IFERROR(MATCH(Profiles!AB17,{"Low","Medium","High"},0)-1,0)&gt;=1),0.75,1)),IF(OR(IFERROR(MATCH(Profiles!W17,{"None","Light","Medium","Heavy"},0)-1,0)&gt;=2,IFERROR(MATCH(Profiles!AB17,{"Low","Medium","High"},0)-1,0)&gt;=2),0.3,IF(OR(IFERROR(MATCH(Profiles!W17,{"None","Light","Medium","Heavy"},0)-1,0)&gt;=1,IFERROR(MATCH(Profiles!AB17,{"Low","Medium","High"},0)-1,0)&gt;=1),0.6,0.9)))))</f>
        <v/>
      </c>
    </row>
    <row r="17" ht="15" customHeight="1" s="37">
      <c r="A17" s="59">
        <f>Profiles!A18</f>
        <v/>
      </c>
      <c r="B17" s="59">
        <f>Profiles!B18</f>
        <v/>
      </c>
      <c r="C17" s="59">
        <f>Profiles!C18</f>
        <v/>
      </c>
      <c r="D17" s="59">
        <f>Profiles!D18</f>
        <v/>
      </c>
      <c r="E17" s="60">
        <f>IF(ISNUMBER(Profiles!E18),IF(ISNUMBER(Profiles!F18),MAX(0,1-(MAX(0,ABS('User Input'!$B$9-Profiles!E18)-Profiles!F18))/Profiles!F18/3),MAX(0,1-ABS('User Input'!$B$9-Profiles!E18)/(Profiles!E18*0.1)/3)),0.5)</f>
        <v/>
      </c>
      <c r="F17" s="60">
        <f>IF(ISNUMBER(Profiles!G18),IF(ISNUMBER(Profiles!H18),MAX(0,1-(MAX(0,ABS('User Input'!$B$10-Profiles!G18)-Profiles!H18))/Profiles!H18/3),MAX(0,1-ABS('User Input'!$B$10-Profiles!G18)/(Profiles!G18*0.15)/3)),0.5)</f>
        <v/>
      </c>
      <c r="G17" s="60">
        <f>IF(ISNUMBER(Profiles!J18),MAX(0,1-ABS('User Input'!$B$12-Profiles!J18)/5/3),0.5)</f>
        <v/>
      </c>
      <c r="H17" s="60">
        <f>IF(ISNUMBER(Profiles!K18),MAX(0,1-ABS('User Input'!$B$14-Profiles!K18)/0.03/3),"n/a")</f>
        <v/>
      </c>
      <c r="I17" s="61">
        <f>100*MAX(0,1-(MAX(0,Profiles!M18-'User Input'!$B$17)+0.5*MAX(0,'User Input'!$B$17-Profiles!M18)+MAX(0,Profiles!N18-'User Input'!$B$18)+0.5*MAX(0,'User Input'!$B$18-Profiles!N18)+MAX(0,Profiles!O18-'User Input'!$B$19)+0.5*MAX(0,'User Input'!$B$19-Profiles!O18)+MAX(0,Profiles!P18-'User Input'!$B$20)+0.5*MAX(0,'User Input'!$B$20-Profiles!P18)+MAX(0,Profiles!Q18-'User Input'!$B$21)+0.5*MAX(0,'User Input'!$B$21-Profiles!Q18)+MAX(0,Profiles!S18-'User Input'!$B$22)+0.5*MAX(0,'User Input'!$B$22-Profiles!S18)+MAX(0,Profiles!T18-'User Input'!$B$23)+0.5*MAX(0,'User Input'!$B$23-Profiles!T18)+MAX(0,Profiles!U18-'User Input'!$B$24)+0.5*MAX(0,'User Input'!$B$24-Profiles!U18))/40)</f>
        <v/>
      </c>
      <c r="J17" s="61">
        <f>ROUND(60*(E17+F17+G17+IFERROR(VALUE(H17),(E17+F17+G17)/3))/4 + 0.4*I17,1)</f>
        <v/>
      </c>
      <c r="K17" s="60">
        <f>IF(OR(AND('User Input'!$B$6="M",Profiles!$AG18="M"),AND('User Input'!$B$6="F",Profiles!$AG18="F")),1,0)</f>
        <v/>
      </c>
      <c r="L17" s="60">
        <f>IF('User Input'!$B$27="Either",(IF(Profiles!V18&gt;=4,1,0.3)+IF(OR(Profiles!V18&lt;=2,ISNUMBER(SEARCH("Individual",Profiles!D18))),1,0.3))/2,IF('User Input'!$B$27="Team",IF(Profiles!V18&gt;=4,1,0.3),IF(OR(Profiles!V18&lt;=2,ISNUMBER(SEARCH("Individual",Profiles!D18))),1,0.3)))</f>
        <v/>
      </c>
      <c r="M17" s="60">
        <f>IF(IFERROR(MATCH(Profiles!W18,{"None","Light","Medium","Heavy"},0)-1,0)&lt;=IFERROR(MATCH('User Input'!$B$28,{"None","Light","Medium","Heavy"},0)-1,3),1,MAX(0,1-0.4*(IFERROR(MATCH(Profiles!W18,{"None","Light","Medium","Heavy"},0)-1,0)-IFERROR(MATCH('User Input'!$B$28,{"None","Light","Medium","Heavy"},0)-1,3))))</f>
        <v/>
      </c>
      <c r="N17" s="60">
        <f>IF('User Input'!$B$29="neutral",1,IF('User Input'!$B$29="essential",IF(ISNUMBER(SEARCH("Outdoor",Profiles!X18)),1,0.3),IF('User Input'!$B$29="nice",IF(ISNUMBER(SEARCH("Outdoor",Profiles!X18)),1,0.65),IF('User Input'!$B$29="indoor",IF(ISNUMBER(SEARCH("Indoor",Profiles!X18)),1,0.4),1))))</f>
        <v/>
      </c>
      <c r="O17" s="60">
        <f>IF('User Input'!$B$30="Yes",1,IF(Profiles!Y18="Yes",0,1))</f>
        <v/>
      </c>
      <c r="P17" s="60">
        <f>IF(IFERROR(MATCH(Profiles!Z18,{"Low","Medium","High"},0),2)&lt;=IFERROR(MATCH('User Input'!$B$31,{"Low","Medium","High"},0),2),1,MAX(0,1-0.4*(IFERROR(MATCH(Profiles!Z18,{"Low","Medium","High"},0),2)-IFERROR(MATCH('User Input'!$B$31,{"Low","Medium","High"},0),2))))</f>
        <v/>
      </c>
      <c r="Q17" s="60">
        <f>IF('User Input'!$B$32="Yes",IF(ISNUMBER(Profiles!AC18),Profiles!AC18/10,0.5),1)</f>
        <v/>
      </c>
      <c r="R17" s="61">
        <f>IF(OR(K17=0,O17=0),0,ROUND(MIN(100,100*(K17*0.1+L17*0.2+M17*0.2+N17*0.1+P17*0.15+Q17*0.25)*W17*X17*Y17*Z17),1))</f>
        <v/>
      </c>
      <c r="S17" s="61">
        <f>IF(R17=0,0,ROUND(0.5*J17+0.5*R17,1))</f>
        <v/>
      </c>
      <c r="T17" s="36">
        <f>J17-ROW()/1000000</f>
        <v/>
      </c>
      <c r="U17" s="36">
        <f>R17-ROW()/1000000</f>
        <v/>
      </c>
      <c r="V17" s="36">
        <f>S17-ROW()/1000000</f>
        <v/>
      </c>
      <c r="W17" s="36">
        <f>IF(OR(AND(OR(Profiles!D18="Team field",Profiles!D18="Team field contact",Profiles!D18="Team field stick"),'User Input'!$B$34="Yes"),AND(OR(Profiles!D18="Team court",Profiles!D18="Team court contact"),'User Input'!$B$35="Yes"),AND(Profiles!D18="Individual racquet",'User Input'!$B$36="Yes"),AND(OR(Profiles!D18="Combat striking",Profiles!D18="Combat grappling",Profiles!D18="Combat mixed"),'User Input'!$B$37="Yes"),AND(OR(Profiles!D18="Team water contact",Profiles!D18="Individual water"),'User Input'!$B$38="Yes"),AND(OR(Profiles!D18="Endurance individual",Profiles!D18="Endurance individual / pair",Profiles!D18="Endurance individual / pursuit",Profiles!D18="Endurance team / pair",Profiles!D18="Endurance multi"),'User Input'!$B$39="Yes"),AND(OR(Profiles!D18="Strength individual",Profiles!D18="Power-throw individual"),'User Input'!$B$40="Yes"),AND(OR(Profiles!D18="Individual technical",Profiles!D18="Individual aesthetic",Profiles!D18="Team precision"),'User Input'!$B$41="Yes")),1.15,1)</f>
        <v/>
      </c>
      <c r="X17" s="36">
        <f>IF('User Input'!$B$33&lt;&gt;"none",1,IF(IFERROR(VALUE(TRIM(MID(SUBSTITUTE(SUBSTITUTE(Profiles!AA18,"–","-"),"-",REPT(" ",100)),100,100)))&lt;=14,FALSE),0.7,1))</f>
        <v/>
      </c>
      <c r="Y17" s="36">
        <f>IF(OR('User Input'!$B$42="under30",'User Input'!$B$42=""),1,IF('User Input'!$B$42="30to45",IF((IFERROR(MATCH(Profiles!W18,{"None","Light","Medium","Heavy"},0)-1,0)+IFERROR(MATCH(Profiles!AB18,{"Low","Medium","High"},0)-1,0))&gt;=5,0.85,1),IF('User Input'!$B$42="46to60",IF((IFERROR(MATCH(Profiles!W18,{"None","Light","Medium","Heavy"},0)-1,0)+IFERROR(MATCH(Profiles!AB18,{"Low","Medium","High"},0)-1,0))&gt;=5,0.65,IF((IFERROR(MATCH(Profiles!W18,{"None","Light","Medium","Heavy"},0)-1,0)+IFERROR(MATCH(Profiles!AB18,{"Low","Medium","High"},0)-1,0))&gt;=4,0.8,IF((IFERROR(MATCH(Profiles!W18,{"None","Light","Medium","Heavy"},0)-1,0)+IFERROR(MATCH(Profiles!AB18,{"Low","Medium","High"},0)-1,0))&gt;=3,0.9,1))),IF((IFERROR(MATCH(Profiles!W18,{"None","Light","Medium","Heavy"},0)-1,0)+IFERROR(MATCH(Profiles!AB18,{"Low","Medium","High"},0)-1,0))&gt;=5,0.4,IF((IFERROR(MATCH(Profiles!W18,{"None","Light","Medium","Heavy"},0)-1,0)+IFERROR(MATCH(Profiles!AB18,{"Low","Medium","High"},0)-1,0))&gt;=4,0.6,IF((IFERROR(MATCH(Profiles!W18,{"None","Light","Medium","Heavy"},0)-1,0)+IFERROR(MATCH(Profiles!AB18,{"Low","Medium","High"},0)-1,0))&gt;=3,0.75,IF((IFERROR(MATCH(Profiles!W18,{"None","Light","Medium","Heavy"},0)-1,0)+IFERROR(MATCH(Profiles!AB18,{"Low","Medium","High"},0)-1,0))&gt;=2,0.85,1)))))))</f>
        <v/>
      </c>
      <c r="Z17" s="36">
        <f>IF(OR('User Input'!$B$43="none",'User Input'!$B$43=""),1,IF('User Input'!$B$43="minor",IF(IFERROR(MATCH(Profiles!W18,{"None","Light","Medium","Heavy"},0)-1,0)&gt;=3,0.7,IF(IFERROR(MATCH(Profiles!W18,{"None","Light","Medium","Heavy"},0)-1,0)&gt;=2,0.85,1)),IF('User Input'!$B$43="joint",IF(OR(IFERROR(MATCH(Profiles!W18,{"None","Light","Medium","Heavy"},0)-1,0)&gt;=3,IFERROR(MATCH(Profiles!AB18,{"Low","Medium","High"},0)-1,0)&gt;=2),0.5,IF(OR(IFERROR(MATCH(Profiles!W18,{"None","Light","Medium","Heavy"},0)-1,0)&gt;=2,IFERROR(MATCH(Profiles!AB18,{"Low","Medium","High"},0)-1,0)&gt;=1),0.75,1)),IF(OR(IFERROR(MATCH(Profiles!W18,{"None","Light","Medium","Heavy"},0)-1,0)&gt;=2,IFERROR(MATCH(Profiles!AB18,{"Low","Medium","High"},0)-1,0)&gt;=2),0.3,IF(OR(IFERROR(MATCH(Profiles!W18,{"None","Light","Medium","Heavy"},0)-1,0)&gt;=1,IFERROR(MATCH(Profiles!AB18,{"Low","Medium","High"},0)-1,0)&gt;=1),0.6,0.9)))))</f>
        <v/>
      </c>
    </row>
    <row r="18" ht="15" customHeight="1" s="37">
      <c r="A18" s="59">
        <f>Profiles!A19</f>
        <v/>
      </c>
      <c r="B18" s="59">
        <f>Profiles!B19</f>
        <v/>
      </c>
      <c r="C18" s="59">
        <f>Profiles!C19</f>
        <v/>
      </c>
      <c r="D18" s="59">
        <f>Profiles!D19</f>
        <v/>
      </c>
      <c r="E18" s="60">
        <f>IF(ISNUMBER(Profiles!E19),IF(ISNUMBER(Profiles!F19),MAX(0,1-(MAX(0,ABS('User Input'!$B$9-Profiles!E19)-Profiles!F19))/Profiles!F19/3),MAX(0,1-ABS('User Input'!$B$9-Profiles!E19)/(Profiles!E19*0.1)/3)),0.5)</f>
        <v/>
      </c>
      <c r="F18" s="60">
        <f>IF(ISNUMBER(Profiles!G19),IF(ISNUMBER(Profiles!H19),MAX(0,1-(MAX(0,ABS('User Input'!$B$10-Profiles!G19)-Profiles!H19))/Profiles!H19/3),MAX(0,1-ABS('User Input'!$B$10-Profiles!G19)/(Profiles!G19*0.15)/3)),0.5)</f>
        <v/>
      </c>
      <c r="G18" s="60">
        <f>IF(ISNUMBER(Profiles!J19),MAX(0,1-ABS('User Input'!$B$12-Profiles!J19)/5/3),0.5)</f>
        <v/>
      </c>
      <c r="H18" s="60">
        <f>IF(ISNUMBER(Profiles!K19),MAX(0,1-ABS('User Input'!$B$14-Profiles!K19)/0.03/3),"n/a")</f>
        <v/>
      </c>
      <c r="I18" s="61">
        <f>100*MAX(0,1-(MAX(0,Profiles!M19-'User Input'!$B$17)+0.5*MAX(0,'User Input'!$B$17-Profiles!M19)+MAX(0,Profiles!N19-'User Input'!$B$18)+0.5*MAX(0,'User Input'!$B$18-Profiles!N19)+MAX(0,Profiles!O19-'User Input'!$B$19)+0.5*MAX(0,'User Input'!$B$19-Profiles!O19)+MAX(0,Profiles!P19-'User Input'!$B$20)+0.5*MAX(0,'User Input'!$B$20-Profiles!P19)+MAX(0,Profiles!Q19-'User Input'!$B$21)+0.5*MAX(0,'User Input'!$B$21-Profiles!Q19)+MAX(0,Profiles!S19-'User Input'!$B$22)+0.5*MAX(0,'User Input'!$B$22-Profiles!S19)+MAX(0,Profiles!T19-'User Input'!$B$23)+0.5*MAX(0,'User Input'!$B$23-Profiles!T19)+MAX(0,Profiles!U19-'User Input'!$B$24)+0.5*MAX(0,'User Input'!$B$24-Profiles!U19))/40)</f>
        <v/>
      </c>
      <c r="J18" s="61">
        <f>ROUND(60*(E18+F18+G18+IFERROR(VALUE(H18),(E18+F18+G18)/3))/4 + 0.4*I18,1)</f>
        <v/>
      </c>
      <c r="K18" s="60">
        <f>IF(OR(AND('User Input'!$B$6="M",Profiles!$AG19="M"),AND('User Input'!$B$6="F",Profiles!$AG19="F")),1,0)</f>
        <v/>
      </c>
      <c r="L18" s="60">
        <f>IF('User Input'!$B$27="Either",(IF(Profiles!V19&gt;=4,1,0.3)+IF(OR(Profiles!V19&lt;=2,ISNUMBER(SEARCH("Individual",Profiles!D19))),1,0.3))/2,IF('User Input'!$B$27="Team",IF(Profiles!V19&gt;=4,1,0.3),IF(OR(Profiles!V19&lt;=2,ISNUMBER(SEARCH("Individual",Profiles!D19))),1,0.3)))</f>
        <v/>
      </c>
      <c r="M18" s="60">
        <f>IF(IFERROR(MATCH(Profiles!W19,{"None","Light","Medium","Heavy"},0)-1,0)&lt;=IFERROR(MATCH('User Input'!$B$28,{"None","Light","Medium","Heavy"},0)-1,3),1,MAX(0,1-0.4*(IFERROR(MATCH(Profiles!W19,{"None","Light","Medium","Heavy"},0)-1,0)-IFERROR(MATCH('User Input'!$B$28,{"None","Light","Medium","Heavy"},0)-1,3))))</f>
        <v/>
      </c>
      <c r="N18" s="60">
        <f>IF('User Input'!$B$29="neutral",1,IF('User Input'!$B$29="essential",IF(ISNUMBER(SEARCH("Outdoor",Profiles!X19)),1,0.3),IF('User Input'!$B$29="nice",IF(ISNUMBER(SEARCH("Outdoor",Profiles!X19)),1,0.65),IF('User Input'!$B$29="indoor",IF(ISNUMBER(SEARCH("Indoor",Profiles!X19)),1,0.4),1))))</f>
        <v/>
      </c>
      <c r="O18" s="60">
        <f>IF('User Input'!$B$30="Yes",1,IF(Profiles!Y19="Yes",0,1))</f>
        <v/>
      </c>
      <c r="P18" s="60">
        <f>IF(IFERROR(MATCH(Profiles!Z19,{"Low","Medium","High"},0),2)&lt;=IFERROR(MATCH('User Input'!$B$31,{"Low","Medium","High"},0),2),1,MAX(0,1-0.4*(IFERROR(MATCH(Profiles!Z19,{"Low","Medium","High"},0),2)-IFERROR(MATCH('User Input'!$B$31,{"Low","Medium","High"},0),2))))</f>
        <v/>
      </c>
      <c r="Q18" s="60">
        <f>IF('User Input'!$B$32="Yes",IF(ISNUMBER(Profiles!AC19),Profiles!AC19/10,0.5),1)</f>
        <v/>
      </c>
      <c r="R18" s="61">
        <f>IF(OR(K18=0,O18=0),0,ROUND(MIN(100,100*(K18*0.1+L18*0.2+M18*0.2+N18*0.1+P18*0.15+Q18*0.25)*W18*X18*Y18*Z18),1))</f>
        <v/>
      </c>
      <c r="S18" s="61">
        <f>IF(R18=0,0,ROUND(0.5*J18+0.5*R18,1))</f>
        <v/>
      </c>
      <c r="T18" s="36">
        <f>J18-ROW()/1000000</f>
        <v/>
      </c>
      <c r="U18" s="36">
        <f>R18-ROW()/1000000</f>
        <v/>
      </c>
      <c r="V18" s="36">
        <f>S18-ROW()/1000000</f>
        <v/>
      </c>
      <c r="W18" s="36">
        <f>IF(OR(AND(OR(Profiles!D19="Team field",Profiles!D19="Team field contact",Profiles!D19="Team field stick"),'User Input'!$B$34="Yes"),AND(OR(Profiles!D19="Team court",Profiles!D19="Team court contact"),'User Input'!$B$35="Yes"),AND(Profiles!D19="Individual racquet",'User Input'!$B$36="Yes"),AND(OR(Profiles!D19="Combat striking",Profiles!D19="Combat grappling",Profiles!D19="Combat mixed"),'User Input'!$B$37="Yes"),AND(OR(Profiles!D19="Team water contact",Profiles!D19="Individual water"),'User Input'!$B$38="Yes"),AND(OR(Profiles!D19="Endurance individual",Profiles!D19="Endurance individual / pair",Profiles!D19="Endurance individual / pursuit",Profiles!D19="Endurance team / pair",Profiles!D19="Endurance multi"),'User Input'!$B$39="Yes"),AND(OR(Profiles!D19="Strength individual",Profiles!D19="Power-throw individual"),'User Input'!$B$40="Yes"),AND(OR(Profiles!D19="Individual technical",Profiles!D19="Individual aesthetic",Profiles!D19="Team precision"),'User Input'!$B$41="Yes")),1.15,1)</f>
        <v/>
      </c>
      <c r="X18" s="36">
        <f>IF('User Input'!$B$33&lt;&gt;"none",1,IF(IFERROR(VALUE(TRIM(MID(SUBSTITUTE(SUBSTITUTE(Profiles!AA19,"–","-"),"-",REPT(" ",100)),100,100)))&lt;=14,FALSE),0.7,1))</f>
        <v/>
      </c>
      <c r="Y18" s="36">
        <f>IF(OR('User Input'!$B$42="under30",'User Input'!$B$42=""),1,IF('User Input'!$B$42="30to45",IF((IFERROR(MATCH(Profiles!W19,{"None","Light","Medium","Heavy"},0)-1,0)+IFERROR(MATCH(Profiles!AB19,{"Low","Medium","High"},0)-1,0))&gt;=5,0.85,1),IF('User Input'!$B$42="46to60",IF((IFERROR(MATCH(Profiles!W19,{"None","Light","Medium","Heavy"},0)-1,0)+IFERROR(MATCH(Profiles!AB19,{"Low","Medium","High"},0)-1,0))&gt;=5,0.65,IF((IFERROR(MATCH(Profiles!W19,{"None","Light","Medium","Heavy"},0)-1,0)+IFERROR(MATCH(Profiles!AB19,{"Low","Medium","High"},0)-1,0))&gt;=4,0.8,IF((IFERROR(MATCH(Profiles!W19,{"None","Light","Medium","Heavy"},0)-1,0)+IFERROR(MATCH(Profiles!AB19,{"Low","Medium","High"},0)-1,0))&gt;=3,0.9,1))),IF((IFERROR(MATCH(Profiles!W19,{"None","Light","Medium","Heavy"},0)-1,0)+IFERROR(MATCH(Profiles!AB19,{"Low","Medium","High"},0)-1,0))&gt;=5,0.4,IF((IFERROR(MATCH(Profiles!W19,{"None","Light","Medium","Heavy"},0)-1,0)+IFERROR(MATCH(Profiles!AB19,{"Low","Medium","High"},0)-1,0))&gt;=4,0.6,IF((IFERROR(MATCH(Profiles!W19,{"None","Light","Medium","Heavy"},0)-1,0)+IFERROR(MATCH(Profiles!AB19,{"Low","Medium","High"},0)-1,0))&gt;=3,0.75,IF((IFERROR(MATCH(Profiles!W19,{"None","Light","Medium","Heavy"},0)-1,0)+IFERROR(MATCH(Profiles!AB19,{"Low","Medium","High"},0)-1,0))&gt;=2,0.85,1)))))))</f>
        <v/>
      </c>
      <c r="Z18" s="36">
        <f>IF(OR('User Input'!$B$43="none",'User Input'!$B$43=""),1,IF('User Input'!$B$43="minor",IF(IFERROR(MATCH(Profiles!W19,{"None","Light","Medium","Heavy"},0)-1,0)&gt;=3,0.7,IF(IFERROR(MATCH(Profiles!W19,{"None","Light","Medium","Heavy"},0)-1,0)&gt;=2,0.85,1)),IF('User Input'!$B$43="joint",IF(OR(IFERROR(MATCH(Profiles!W19,{"None","Light","Medium","Heavy"},0)-1,0)&gt;=3,IFERROR(MATCH(Profiles!AB19,{"Low","Medium","High"},0)-1,0)&gt;=2),0.5,IF(OR(IFERROR(MATCH(Profiles!W19,{"None","Light","Medium","Heavy"},0)-1,0)&gt;=2,IFERROR(MATCH(Profiles!AB19,{"Low","Medium","High"},0)-1,0)&gt;=1),0.75,1)),IF(OR(IFERROR(MATCH(Profiles!W19,{"None","Light","Medium","Heavy"},0)-1,0)&gt;=2,IFERROR(MATCH(Profiles!AB19,{"Low","Medium","High"},0)-1,0)&gt;=2),0.3,IF(OR(IFERROR(MATCH(Profiles!W19,{"None","Light","Medium","Heavy"},0)-1,0)&gt;=1,IFERROR(MATCH(Profiles!AB19,{"Low","Medium","High"},0)-1,0)&gt;=1),0.6,0.9)))))</f>
        <v/>
      </c>
    </row>
    <row r="19" ht="15" customHeight="1" s="37">
      <c r="A19" s="59">
        <f>Profiles!A20</f>
        <v/>
      </c>
      <c r="B19" s="59">
        <f>Profiles!B20</f>
        <v/>
      </c>
      <c r="C19" s="59">
        <f>Profiles!C20</f>
        <v/>
      </c>
      <c r="D19" s="59">
        <f>Profiles!D20</f>
        <v/>
      </c>
      <c r="E19" s="60">
        <f>IF(ISNUMBER(Profiles!E20),IF(ISNUMBER(Profiles!F20),MAX(0,1-(MAX(0,ABS('User Input'!$B$9-Profiles!E20)-Profiles!F20))/Profiles!F20/3),MAX(0,1-ABS('User Input'!$B$9-Profiles!E20)/(Profiles!E20*0.1)/3)),0.5)</f>
        <v/>
      </c>
      <c r="F19" s="60">
        <f>IF(ISNUMBER(Profiles!G20),IF(ISNUMBER(Profiles!H20),MAX(0,1-(MAX(0,ABS('User Input'!$B$10-Profiles!G20)-Profiles!H20))/Profiles!H20/3),MAX(0,1-ABS('User Input'!$B$10-Profiles!G20)/(Profiles!G20*0.15)/3)),0.5)</f>
        <v/>
      </c>
      <c r="G19" s="60">
        <f>IF(ISNUMBER(Profiles!J20),MAX(0,1-ABS('User Input'!$B$12-Profiles!J20)/5/3),0.5)</f>
        <v/>
      </c>
      <c r="H19" s="60">
        <f>IF(ISNUMBER(Profiles!K20),MAX(0,1-ABS('User Input'!$B$14-Profiles!K20)/0.03/3),"n/a")</f>
        <v/>
      </c>
      <c r="I19" s="61">
        <f>100*MAX(0,1-(MAX(0,Profiles!M20-'User Input'!$B$17)+0.5*MAX(0,'User Input'!$B$17-Profiles!M20)+MAX(0,Profiles!N20-'User Input'!$B$18)+0.5*MAX(0,'User Input'!$B$18-Profiles!N20)+MAX(0,Profiles!O20-'User Input'!$B$19)+0.5*MAX(0,'User Input'!$B$19-Profiles!O20)+MAX(0,Profiles!P20-'User Input'!$B$20)+0.5*MAX(0,'User Input'!$B$20-Profiles!P20)+MAX(0,Profiles!Q20-'User Input'!$B$21)+0.5*MAX(0,'User Input'!$B$21-Profiles!Q20)+MAX(0,Profiles!S20-'User Input'!$B$22)+0.5*MAX(0,'User Input'!$B$22-Profiles!S20)+MAX(0,Profiles!T20-'User Input'!$B$23)+0.5*MAX(0,'User Input'!$B$23-Profiles!T20)+MAX(0,Profiles!U20-'User Input'!$B$24)+0.5*MAX(0,'User Input'!$B$24-Profiles!U20))/40)</f>
        <v/>
      </c>
      <c r="J19" s="61">
        <f>ROUND(60*(E19+F19+G19+IFERROR(VALUE(H19),(E19+F19+G19)/3))/4 + 0.4*I19,1)</f>
        <v/>
      </c>
      <c r="K19" s="60">
        <f>IF(OR(AND('User Input'!$B$6="M",Profiles!$AG20="M"),AND('User Input'!$B$6="F",Profiles!$AG20="F")),1,0)</f>
        <v/>
      </c>
      <c r="L19" s="60">
        <f>IF('User Input'!$B$27="Either",(IF(Profiles!V20&gt;=4,1,0.3)+IF(OR(Profiles!V20&lt;=2,ISNUMBER(SEARCH("Individual",Profiles!D20))),1,0.3))/2,IF('User Input'!$B$27="Team",IF(Profiles!V20&gt;=4,1,0.3),IF(OR(Profiles!V20&lt;=2,ISNUMBER(SEARCH("Individual",Profiles!D20))),1,0.3)))</f>
        <v/>
      </c>
      <c r="M19" s="60">
        <f>IF(IFERROR(MATCH(Profiles!W20,{"None","Light","Medium","Heavy"},0)-1,0)&lt;=IFERROR(MATCH('User Input'!$B$28,{"None","Light","Medium","Heavy"},0)-1,3),1,MAX(0,1-0.4*(IFERROR(MATCH(Profiles!W20,{"None","Light","Medium","Heavy"},0)-1,0)-IFERROR(MATCH('User Input'!$B$28,{"None","Light","Medium","Heavy"},0)-1,3))))</f>
        <v/>
      </c>
      <c r="N19" s="60">
        <f>IF('User Input'!$B$29="neutral",1,IF('User Input'!$B$29="essential",IF(ISNUMBER(SEARCH("Outdoor",Profiles!X20)),1,0.3),IF('User Input'!$B$29="nice",IF(ISNUMBER(SEARCH("Outdoor",Profiles!X20)),1,0.65),IF('User Input'!$B$29="indoor",IF(ISNUMBER(SEARCH("Indoor",Profiles!X20)),1,0.4),1))))</f>
        <v/>
      </c>
      <c r="O19" s="60">
        <f>IF('User Input'!$B$30="Yes",1,IF(Profiles!Y20="Yes",0,1))</f>
        <v/>
      </c>
      <c r="P19" s="60">
        <f>IF(IFERROR(MATCH(Profiles!Z20,{"Low","Medium","High"},0),2)&lt;=IFERROR(MATCH('User Input'!$B$31,{"Low","Medium","High"},0),2),1,MAX(0,1-0.4*(IFERROR(MATCH(Profiles!Z20,{"Low","Medium","High"},0),2)-IFERROR(MATCH('User Input'!$B$31,{"Low","Medium","High"},0),2))))</f>
        <v/>
      </c>
      <c r="Q19" s="60">
        <f>IF('User Input'!$B$32="Yes",IF(ISNUMBER(Profiles!AC20),Profiles!AC20/10,0.5),1)</f>
        <v/>
      </c>
      <c r="R19" s="61">
        <f>IF(OR(K19=0,O19=0),0,ROUND(MIN(100,100*(K19*0.1+L19*0.2+M19*0.2+N19*0.1+P19*0.15+Q19*0.25)*W19*X19*Y19*Z19),1))</f>
        <v/>
      </c>
      <c r="S19" s="61">
        <f>IF(R19=0,0,ROUND(0.5*J19+0.5*R19,1))</f>
        <v/>
      </c>
      <c r="T19" s="36">
        <f>J19-ROW()/1000000</f>
        <v/>
      </c>
      <c r="U19" s="36">
        <f>R19-ROW()/1000000</f>
        <v/>
      </c>
      <c r="V19" s="36">
        <f>S19-ROW()/1000000</f>
        <v/>
      </c>
      <c r="W19" s="36">
        <f>IF(OR(AND(OR(Profiles!D20="Team field",Profiles!D20="Team field contact",Profiles!D20="Team field stick"),'User Input'!$B$34="Yes"),AND(OR(Profiles!D20="Team court",Profiles!D20="Team court contact"),'User Input'!$B$35="Yes"),AND(Profiles!D20="Individual racquet",'User Input'!$B$36="Yes"),AND(OR(Profiles!D20="Combat striking",Profiles!D20="Combat grappling",Profiles!D20="Combat mixed"),'User Input'!$B$37="Yes"),AND(OR(Profiles!D20="Team water contact",Profiles!D20="Individual water"),'User Input'!$B$38="Yes"),AND(OR(Profiles!D20="Endurance individual",Profiles!D20="Endurance individual / pair",Profiles!D20="Endurance individual / pursuit",Profiles!D20="Endurance team / pair",Profiles!D20="Endurance multi"),'User Input'!$B$39="Yes"),AND(OR(Profiles!D20="Strength individual",Profiles!D20="Power-throw individual"),'User Input'!$B$40="Yes"),AND(OR(Profiles!D20="Individual technical",Profiles!D20="Individual aesthetic",Profiles!D20="Team precision"),'User Input'!$B$41="Yes")),1.15,1)</f>
        <v/>
      </c>
      <c r="X19" s="36">
        <f>IF('User Input'!$B$33&lt;&gt;"none",1,IF(IFERROR(VALUE(TRIM(MID(SUBSTITUTE(SUBSTITUTE(Profiles!AA20,"–","-"),"-",REPT(" ",100)),100,100)))&lt;=14,FALSE),0.7,1))</f>
        <v/>
      </c>
      <c r="Y19" s="36">
        <f>IF(OR('User Input'!$B$42="under30",'User Input'!$B$42=""),1,IF('User Input'!$B$42="30to45",IF((IFERROR(MATCH(Profiles!W20,{"None","Light","Medium","Heavy"},0)-1,0)+IFERROR(MATCH(Profiles!AB20,{"Low","Medium","High"},0)-1,0))&gt;=5,0.85,1),IF('User Input'!$B$42="46to60",IF((IFERROR(MATCH(Profiles!W20,{"None","Light","Medium","Heavy"},0)-1,0)+IFERROR(MATCH(Profiles!AB20,{"Low","Medium","High"},0)-1,0))&gt;=5,0.65,IF((IFERROR(MATCH(Profiles!W20,{"None","Light","Medium","Heavy"},0)-1,0)+IFERROR(MATCH(Profiles!AB20,{"Low","Medium","High"},0)-1,0))&gt;=4,0.8,IF((IFERROR(MATCH(Profiles!W20,{"None","Light","Medium","Heavy"},0)-1,0)+IFERROR(MATCH(Profiles!AB20,{"Low","Medium","High"},0)-1,0))&gt;=3,0.9,1))),IF((IFERROR(MATCH(Profiles!W20,{"None","Light","Medium","Heavy"},0)-1,0)+IFERROR(MATCH(Profiles!AB20,{"Low","Medium","High"},0)-1,0))&gt;=5,0.4,IF((IFERROR(MATCH(Profiles!W20,{"None","Light","Medium","Heavy"},0)-1,0)+IFERROR(MATCH(Profiles!AB20,{"Low","Medium","High"},0)-1,0))&gt;=4,0.6,IF((IFERROR(MATCH(Profiles!W20,{"None","Light","Medium","Heavy"},0)-1,0)+IFERROR(MATCH(Profiles!AB20,{"Low","Medium","High"},0)-1,0))&gt;=3,0.75,IF((IFERROR(MATCH(Profiles!W20,{"None","Light","Medium","Heavy"},0)-1,0)+IFERROR(MATCH(Profiles!AB20,{"Low","Medium","High"},0)-1,0))&gt;=2,0.85,1)))))))</f>
        <v/>
      </c>
      <c r="Z19" s="36">
        <f>IF(OR('User Input'!$B$43="none",'User Input'!$B$43=""),1,IF('User Input'!$B$43="minor",IF(IFERROR(MATCH(Profiles!W20,{"None","Light","Medium","Heavy"},0)-1,0)&gt;=3,0.7,IF(IFERROR(MATCH(Profiles!W20,{"None","Light","Medium","Heavy"},0)-1,0)&gt;=2,0.85,1)),IF('User Input'!$B$43="joint",IF(OR(IFERROR(MATCH(Profiles!W20,{"None","Light","Medium","Heavy"},0)-1,0)&gt;=3,IFERROR(MATCH(Profiles!AB20,{"Low","Medium","High"},0)-1,0)&gt;=2),0.5,IF(OR(IFERROR(MATCH(Profiles!W20,{"None","Light","Medium","Heavy"},0)-1,0)&gt;=2,IFERROR(MATCH(Profiles!AB20,{"Low","Medium","High"},0)-1,0)&gt;=1),0.75,1)),IF(OR(IFERROR(MATCH(Profiles!W20,{"None","Light","Medium","Heavy"},0)-1,0)&gt;=2,IFERROR(MATCH(Profiles!AB20,{"Low","Medium","High"},0)-1,0)&gt;=2),0.3,IF(OR(IFERROR(MATCH(Profiles!W20,{"None","Light","Medium","Heavy"},0)-1,0)&gt;=1,IFERROR(MATCH(Profiles!AB20,{"Low","Medium","High"},0)-1,0)&gt;=1),0.6,0.9)))))</f>
        <v/>
      </c>
    </row>
    <row r="20" ht="23.25" customHeight="1" s="37">
      <c r="A20" s="59">
        <f>Profiles!A21</f>
        <v/>
      </c>
      <c r="B20" s="59">
        <f>Profiles!B21</f>
        <v/>
      </c>
      <c r="C20" s="59">
        <f>Profiles!C21</f>
        <v/>
      </c>
      <c r="D20" s="59">
        <f>Profiles!D21</f>
        <v/>
      </c>
      <c r="E20" s="60">
        <f>IF(ISNUMBER(Profiles!E21),IF(ISNUMBER(Profiles!F21),MAX(0,1-(MAX(0,ABS('User Input'!$B$9-Profiles!E21)-Profiles!F21))/Profiles!F21/3),MAX(0,1-ABS('User Input'!$B$9-Profiles!E21)/(Profiles!E21*0.1)/3)),0.5)</f>
        <v/>
      </c>
      <c r="F20" s="60">
        <f>IF(ISNUMBER(Profiles!G21),IF(ISNUMBER(Profiles!H21),MAX(0,1-(MAX(0,ABS('User Input'!$B$10-Profiles!G21)-Profiles!H21))/Profiles!H21/3),MAX(0,1-ABS('User Input'!$B$10-Profiles!G21)/(Profiles!G21*0.15)/3)),0.5)</f>
        <v/>
      </c>
      <c r="G20" s="60">
        <f>IF(ISNUMBER(Profiles!J21),MAX(0,1-ABS('User Input'!$B$12-Profiles!J21)/5/3),0.5)</f>
        <v/>
      </c>
      <c r="H20" s="60">
        <f>IF(ISNUMBER(Profiles!K21),MAX(0,1-ABS('User Input'!$B$14-Profiles!K21)/0.03/3),"n/a")</f>
        <v/>
      </c>
      <c r="I20" s="61">
        <f>100*MAX(0,1-(MAX(0,Profiles!M21-'User Input'!$B$17)+0.5*MAX(0,'User Input'!$B$17-Profiles!M21)+MAX(0,Profiles!N21-'User Input'!$B$18)+0.5*MAX(0,'User Input'!$B$18-Profiles!N21)+MAX(0,Profiles!O21-'User Input'!$B$19)+0.5*MAX(0,'User Input'!$B$19-Profiles!O21)+MAX(0,Profiles!P21-'User Input'!$B$20)+0.5*MAX(0,'User Input'!$B$20-Profiles!P21)+MAX(0,Profiles!Q21-'User Input'!$B$21)+0.5*MAX(0,'User Input'!$B$21-Profiles!Q21)+MAX(0,Profiles!S21-'User Input'!$B$22)+0.5*MAX(0,'User Input'!$B$22-Profiles!S21)+MAX(0,Profiles!T21-'User Input'!$B$23)+0.5*MAX(0,'User Input'!$B$23-Profiles!T21)+MAX(0,Profiles!U21-'User Input'!$B$24)+0.5*MAX(0,'User Input'!$B$24-Profiles!U21))/40)</f>
        <v/>
      </c>
      <c r="J20" s="61">
        <f>ROUND(60*(E20+F20+G20+IFERROR(VALUE(H20),(E20+F20+G20)/3))/4 + 0.4*I20,1)</f>
        <v/>
      </c>
      <c r="K20" s="60">
        <f>IF(OR(AND('User Input'!$B$6="M",Profiles!$AG21="M"),AND('User Input'!$B$6="F",Profiles!$AG21="F")),1,0)</f>
        <v/>
      </c>
      <c r="L20" s="60">
        <f>IF('User Input'!$B$27="Either",(IF(Profiles!V21&gt;=4,1,0.3)+IF(OR(Profiles!V21&lt;=2,ISNUMBER(SEARCH("Individual",Profiles!D21))),1,0.3))/2,IF('User Input'!$B$27="Team",IF(Profiles!V21&gt;=4,1,0.3),IF(OR(Profiles!V21&lt;=2,ISNUMBER(SEARCH("Individual",Profiles!D21))),1,0.3)))</f>
        <v/>
      </c>
      <c r="M20" s="60">
        <f>IF(IFERROR(MATCH(Profiles!W21,{"None","Light","Medium","Heavy"},0)-1,0)&lt;=IFERROR(MATCH('User Input'!$B$28,{"None","Light","Medium","Heavy"},0)-1,3),1,MAX(0,1-0.4*(IFERROR(MATCH(Profiles!W21,{"None","Light","Medium","Heavy"},0)-1,0)-IFERROR(MATCH('User Input'!$B$28,{"None","Light","Medium","Heavy"},0)-1,3))))</f>
        <v/>
      </c>
      <c r="N20" s="60">
        <f>IF('User Input'!$B$29="neutral",1,IF('User Input'!$B$29="essential",IF(ISNUMBER(SEARCH("Outdoor",Profiles!X21)),1,0.3),IF('User Input'!$B$29="nice",IF(ISNUMBER(SEARCH("Outdoor",Profiles!X21)),1,0.65),IF('User Input'!$B$29="indoor",IF(ISNUMBER(SEARCH("Indoor",Profiles!X21)),1,0.4),1))))</f>
        <v/>
      </c>
      <c r="O20" s="60">
        <f>IF('User Input'!$B$30="Yes",1,IF(Profiles!Y21="Yes",0,1))</f>
        <v/>
      </c>
      <c r="P20" s="60">
        <f>IF(IFERROR(MATCH(Profiles!Z21,{"Low","Medium","High"},0),2)&lt;=IFERROR(MATCH('User Input'!$B$31,{"Low","Medium","High"},0),2),1,MAX(0,1-0.4*(IFERROR(MATCH(Profiles!Z21,{"Low","Medium","High"},0),2)-IFERROR(MATCH('User Input'!$B$31,{"Low","Medium","High"},0),2))))</f>
        <v/>
      </c>
      <c r="Q20" s="60">
        <f>IF('User Input'!$B$32="Yes",IF(ISNUMBER(Profiles!AC21),Profiles!AC21/10,0.5),1)</f>
        <v/>
      </c>
      <c r="R20" s="61">
        <f>IF(OR(K20=0,O20=0),0,ROUND(MIN(100,100*(K20*0.1+L20*0.2+M20*0.2+N20*0.1+P20*0.15+Q20*0.25)*W20*X20*Y20*Z20),1))</f>
        <v/>
      </c>
      <c r="S20" s="61">
        <f>IF(R20=0,0,ROUND(0.5*J20+0.5*R20,1))</f>
        <v/>
      </c>
      <c r="T20" s="36">
        <f>J20-ROW()/1000000</f>
        <v/>
      </c>
      <c r="U20" s="36">
        <f>R20-ROW()/1000000</f>
        <v/>
      </c>
      <c r="V20" s="36">
        <f>S20-ROW()/1000000</f>
        <v/>
      </c>
      <c r="W20" s="36">
        <f>IF(OR(AND(OR(Profiles!D21="Team field",Profiles!D21="Team field contact",Profiles!D21="Team field stick"),'User Input'!$B$34="Yes"),AND(OR(Profiles!D21="Team court",Profiles!D21="Team court contact"),'User Input'!$B$35="Yes"),AND(Profiles!D21="Individual racquet",'User Input'!$B$36="Yes"),AND(OR(Profiles!D21="Combat striking",Profiles!D21="Combat grappling",Profiles!D21="Combat mixed"),'User Input'!$B$37="Yes"),AND(OR(Profiles!D21="Team water contact",Profiles!D21="Individual water"),'User Input'!$B$38="Yes"),AND(OR(Profiles!D21="Endurance individual",Profiles!D21="Endurance individual / pair",Profiles!D21="Endurance individual / pursuit",Profiles!D21="Endurance team / pair",Profiles!D21="Endurance multi"),'User Input'!$B$39="Yes"),AND(OR(Profiles!D21="Strength individual",Profiles!D21="Power-throw individual"),'User Input'!$B$40="Yes"),AND(OR(Profiles!D21="Individual technical",Profiles!D21="Individual aesthetic",Profiles!D21="Team precision"),'User Input'!$B$41="Yes")),1.15,1)</f>
        <v/>
      </c>
      <c r="X20" s="36">
        <f>IF('User Input'!$B$33&lt;&gt;"none",1,IF(IFERROR(VALUE(TRIM(MID(SUBSTITUTE(SUBSTITUTE(Profiles!AA21,"–","-"),"-",REPT(" ",100)),100,100)))&lt;=14,FALSE),0.7,1))</f>
        <v/>
      </c>
      <c r="Y20" s="36">
        <f>IF(OR('User Input'!$B$42="under30",'User Input'!$B$42=""),1,IF('User Input'!$B$42="30to45",IF((IFERROR(MATCH(Profiles!W21,{"None","Light","Medium","Heavy"},0)-1,0)+IFERROR(MATCH(Profiles!AB21,{"Low","Medium","High"},0)-1,0))&gt;=5,0.85,1),IF('User Input'!$B$42="46to60",IF((IFERROR(MATCH(Profiles!W21,{"None","Light","Medium","Heavy"},0)-1,0)+IFERROR(MATCH(Profiles!AB21,{"Low","Medium","High"},0)-1,0))&gt;=5,0.65,IF((IFERROR(MATCH(Profiles!W21,{"None","Light","Medium","Heavy"},0)-1,0)+IFERROR(MATCH(Profiles!AB21,{"Low","Medium","High"},0)-1,0))&gt;=4,0.8,IF((IFERROR(MATCH(Profiles!W21,{"None","Light","Medium","Heavy"},0)-1,0)+IFERROR(MATCH(Profiles!AB21,{"Low","Medium","High"},0)-1,0))&gt;=3,0.9,1))),IF((IFERROR(MATCH(Profiles!W21,{"None","Light","Medium","Heavy"},0)-1,0)+IFERROR(MATCH(Profiles!AB21,{"Low","Medium","High"},0)-1,0))&gt;=5,0.4,IF((IFERROR(MATCH(Profiles!W21,{"None","Light","Medium","Heavy"},0)-1,0)+IFERROR(MATCH(Profiles!AB21,{"Low","Medium","High"},0)-1,0))&gt;=4,0.6,IF((IFERROR(MATCH(Profiles!W21,{"None","Light","Medium","Heavy"},0)-1,0)+IFERROR(MATCH(Profiles!AB21,{"Low","Medium","High"},0)-1,0))&gt;=3,0.75,IF((IFERROR(MATCH(Profiles!W21,{"None","Light","Medium","Heavy"},0)-1,0)+IFERROR(MATCH(Profiles!AB21,{"Low","Medium","High"},0)-1,0))&gt;=2,0.85,1)))))))</f>
        <v/>
      </c>
      <c r="Z20" s="36">
        <f>IF(OR('User Input'!$B$43="none",'User Input'!$B$43=""),1,IF('User Input'!$B$43="minor",IF(IFERROR(MATCH(Profiles!W21,{"None","Light","Medium","Heavy"},0)-1,0)&gt;=3,0.7,IF(IFERROR(MATCH(Profiles!W21,{"None","Light","Medium","Heavy"},0)-1,0)&gt;=2,0.85,1)),IF('User Input'!$B$43="joint",IF(OR(IFERROR(MATCH(Profiles!W21,{"None","Light","Medium","Heavy"},0)-1,0)&gt;=3,IFERROR(MATCH(Profiles!AB21,{"Low","Medium","High"},0)-1,0)&gt;=2),0.5,IF(OR(IFERROR(MATCH(Profiles!W21,{"None","Light","Medium","Heavy"},0)-1,0)&gt;=2,IFERROR(MATCH(Profiles!AB21,{"Low","Medium","High"},0)-1,0)&gt;=1),0.75,1)),IF(OR(IFERROR(MATCH(Profiles!W21,{"None","Light","Medium","Heavy"},0)-1,0)&gt;=2,IFERROR(MATCH(Profiles!AB21,{"Low","Medium","High"},0)-1,0)&gt;=2),0.3,IF(OR(IFERROR(MATCH(Profiles!W21,{"None","Light","Medium","Heavy"},0)-1,0)&gt;=1,IFERROR(MATCH(Profiles!AB21,{"Low","Medium","High"},0)-1,0)&gt;=1),0.6,0.9)))))</f>
        <v/>
      </c>
    </row>
    <row r="21" ht="23.25" customHeight="1" s="37">
      <c r="A21" s="59">
        <f>Profiles!A22</f>
        <v/>
      </c>
      <c r="B21" s="59">
        <f>Profiles!B22</f>
        <v/>
      </c>
      <c r="C21" s="59">
        <f>Profiles!C22</f>
        <v/>
      </c>
      <c r="D21" s="59">
        <f>Profiles!D22</f>
        <v/>
      </c>
      <c r="E21" s="60">
        <f>IF(ISNUMBER(Profiles!E22),IF(ISNUMBER(Profiles!F22),MAX(0,1-(MAX(0,ABS('User Input'!$B$9-Profiles!E22)-Profiles!F22))/Profiles!F22/3),MAX(0,1-ABS('User Input'!$B$9-Profiles!E22)/(Profiles!E22*0.1)/3)),0.5)</f>
        <v/>
      </c>
      <c r="F21" s="60">
        <f>IF(ISNUMBER(Profiles!G22),IF(ISNUMBER(Profiles!H22),MAX(0,1-(MAX(0,ABS('User Input'!$B$10-Profiles!G22)-Profiles!H22))/Profiles!H22/3),MAX(0,1-ABS('User Input'!$B$10-Profiles!G22)/(Profiles!G22*0.15)/3)),0.5)</f>
        <v/>
      </c>
      <c r="G21" s="60">
        <f>IF(ISNUMBER(Profiles!J22),MAX(0,1-ABS('User Input'!$B$12-Profiles!J22)/5/3),0.5)</f>
        <v/>
      </c>
      <c r="H21" s="60">
        <f>IF(ISNUMBER(Profiles!K22),MAX(0,1-ABS('User Input'!$B$14-Profiles!K22)/0.03/3),"n/a")</f>
        <v/>
      </c>
      <c r="I21" s="61">
        <f>100*MAX(0,1-(MAX(0,Profiles!M22-'User Input'!$B$17)+0.5*MAX(0,'User Input'!$B$17-Profiles!M22)+MAX(0,Profiles!N22-'User Input'!$B$18)+0.5*MAX(0,'User Input'!$B$18-Profiles!N22)+MAX(0,Profiles!O22-'User Input'!$B$19)+0.5*MAX(0,'User Input'!$B$19-Profiles!O22)+MAX(0,Profiles!P22-'User Input'!$B$20)+0.5*MAX(0,'User Input'!$B$20-Profiles!P22)+MAX(0,Profiles!Q22-'User Input'!$B$21)+0.5*MAX(0,'User Input'!$B$21-Profiles!Q22)+MAX(0,Profiles!S22-'User Input'!$B$22)+0.5*MAX(0,'User Input'!$B$22-Profiles!S22)+MAX(0,Profiles!T22-'User Input'!$B$23)+0.5*MAX(0,'User Input'!$B$23-Profiles!T22)+MAX(0,Profiles!U22-'User Input'!$B$24)+0.5*MAX(0,'User Input'!$B$24-Profiles!U22))/40)</f>
        <v/>
      </c>
      <c r="J21" s="61">
        <f>ROUND(60*(E21+F21+G21+IFERROR(VALUE(H21),(E21+F21+G21)/3))/4 + 0.4*I21,1)</f>
        <v/>
      </c>
      <c r="K21" s="60">
        <f>IF(OR(AND('User Input'!$B$6="M",Profiles!$AG22="M"),AND('User Input'!$B$6="F",Profiles!$AG22="F")),1,0)</f>
        <v/>
      </c>
      <c r="L21" s="60">
        <f>IF('User Input'!$B$27="Either",(IF(Profiles!V22&gt;=4,1,0.3)+IF(OR(Profiles!V22&lt;=2,ISNUMBER(SEARCH("Individual",Profiles!D22))),1,0.3))/2,IF('User Input'!$B$27="Team",IF(Profiles!V22&gt;=4,1,0.3),IF(OR(Profiles!V22&lt;=2,ISNUMBER(SEARCH("Individual",Profiles!D22))),1,0.3)))</f>
        <v/>
      </c>
      <c r="M21" s="60">
        <f>IF(IFERROR(MATCH(Profiles!W22,{"None","Light","Medium","Heavy"},0)-1,0)&lt;=IFERROR(MATCH('User Input'!$B$28,{"None","Light","Medium","Heavy"},0)-1,3),1,MAX(0,1-0.4*(IFERROR(MATCH(Profiles!W22,{"None","Light","Medium","Heavy"},0)-1,0)-IFERROR(MATCH('User Input'!$B$28,{"None","Light","Medium","Heavy"},0)-1,3))))</f>
        <v/>
      </c>
      <c r="N21" s="60">
        <f>IF('User Input'!$B$29="neutral",1,IF('User Input'!$B$29="essential",IF(ISNUMBER(SEARCH("Outdoor",Profiles!X22)),1,0.3),IF('User Input'!$B$29="nice",IF(ISNUMBER(SEARCH("Outdoor",Profiles!X22)),1,0.65),IF('User Input'!$B$29="indoor",IF(ISNUMBER(SEARCH("Indoor",Profiles!X22)),1,0.4),1))))</f>
        <v/>
      </c>
      <c r="O21" s="60">
        <f>IF('User Input'!$B$30="Yes",1,IF(Profiles!Y22="Yes",0,1))</f>
        <v/>
      </c>
      <c r="P21" s="60">
        <f>IF(IFERROR(MATCH(Profiles!Z22,{"Low","Medium","High"},0),2)&lt;=IFERROR(MATCH('User Input'!$B$31,{"Low","Medium","High"},0),2),1,MAX(0,1-0.4*(IFERROR(MATCH(Profiles!Z22,{"Low","Medium","High"},0),2)-IFERROR(MATCH('User Input'!$B$31,{"Low","Medium","High"},0),2))))</f>
        <v/>
      </c>
      <c r="Q21" s="60">
        <f>IF('User Input'!$B$32="Yes",IF(ISNUMBER(Profiles!AC22),Profiles!AC22/10,0.5),1)</f>
        <v/>
      </c>
      <c r="R21" s="61">
        <f>IF(OR(K21=0,O21=0),0,ROUND(MIN(100,100*(K21*0.1+L21*0.2+M21*0.2+N21*0.1+P21*0.15+Q21*0.25)*W21*X21*Y21*Z21),1))</f>
        <v/>
      </c>
      <c r="S21" s="61">
        <f>IF(R21=0,0,ROUND(0.5*J21+0.5*R21,1))</f>
        <v/>
      </c>
      <c r="T21" s="36">
        <f>J21-ROW()/1000000</f>
        <v/>
      </c>
      <c r="U21" s="36">
        <f>R21-ROW()/1000000</f>
        <v/>
      </c>
      <c r="V21" s="36">
        <f>S21-ROW()/1000000</f>
        <v/>
      </c>
      <c r="W21" s="36">
        <f>IF(OR(AND(OR(Profiles!D22="Team field",Profiles!D22="Team field contact",Profiles!D22="Team field stick"),'User Input'!$B$34="Yes"),AND(OR(Profiles!D22="Team court",Profiles!D22="Team court contact"),'User Input'!$B$35="Yes"),AND(Profiles!D22="Individual racquet",'User Input'!$B$36="Yes"),AND(OR(Profiles!D22="Combat striking",Profiles!D22="Combat grappling",Profiles!D22="Combat mixed"),'User Input'!$B$37="Yes"),AND(OR(Profiles!D22="Team water contact",Profiles!D22="Individual water"),'User Input'!$B$38="Yes"),AND(OR(Profiles!D22="Endurance individual",Profiles!D22="Endurance individual / pair",Profiles!D22="Endurance individual / pursuit",Profiles!D22="Endurance team / pair",Profiles!D22="Endurance multi"),'User Input'!$B$39="Yes"),AND(OR(Profiles!D22="Strength individual",Profiles!D22="Power-throw individual"),'User Input'!$B$40="Yes"),AND(OR(Profiles!D22="Individual technical",Profiles!D22="Individual aesthetic",Profiles!D22="Team precision"),'User Input'!$B$41="Yes")),1.15,1)</f>
        <v/>
      </c>
      <c r="X21" s="36">
        <f>IF('User Input'!$B$33&lt;&gt;"none",1,IF(IFERROR(VALUE(TRIM(MID(SUBSTITUTE(SUBSTITUTE(Profiles!AA22,"–","-"),"-",REPT(" ",100)),100,100)))&lt;=14,FALSE),0.7,1))</f>
        <v/>
      </c>
      <c r="Y21" s="36">
        <f>IF(OR('User Input'!$B$42="under30",'User Input'!$B$42=""),1,IF('User Input'!$B$42="30to45",IF((IFERROR(MATCH(Profiles!W22,{"None","Light","Medium","Heavy"},0)-1,0)+IFERROR(MATCH(Profiles!AB22,{"Low","Medium","High"},0)-1,0))&gt;=5,0.85,1),IF('User Input'!$B$42="46to60",IF((IFERROR(MATCH(Profiles!W22,{"None","Light","Medium","Heavy"},0)-1,0)+IFERROR(MATCH(Profiles!AB22,{"Low","Medium","High"},0)-1,0))&gt;=5,0.65,IF((IFERROR(MATCH(Profiles!W22,{"None","Light","Medium","Heavy"},0)-1,0)+IFERROR(MATCH(Profiles!AB22,{"Low","Medium","High"},0)-1,0))&gt;=4,0.8,IF((IFERROR(MATCH(Profiles!W22,{"None","Light","Medium","Heavy"},0)-1,0)+IFERROR(MATCH(Profiles!AB22,{"Low","Medium","High"},0)-1,0))&gt;=3,0.9,1))),IF((IFERROR(MATCH(Profiles!W22,{"None","Light","Medium","Heavy"},0)-1,0)+IFERROR(MATCH(Profiles!AB22,{"Low","Medium","High"},0)-1,0))&gt;=5,0.4,IF((IFERROR(MATCH(Profiles!W22,{"None","Light","Medium","Heavy"},0)-1,0)+IFERROR(MATCH(Profiles!AB22,{"Low","Medium","High"},0)-1,0))&gt;=4,0.6,IF((IFERROR(MATCH(Profiles!W22,{"None","Light","Medium","Heavy"},0)-1,0)+IFERROR(MATCH(Profiles!AB22,{"Low","Medium","High"},0)-1,0))&gt;=3,0.75,IF((IFERROR(MATCH(Profiles!W22,{"None","Light","Medium","Heavy"},0)-1,0)+IFERROR(MATCH(Profiles!AB22,{"Low","Medium","High"},0)-1,0))&gt;=2,0.85,1)))))))</f>
        <v/>
      </c>
      <c r="Z21" s="36">
        <f>IF(OR('User Input'!$B$43="none",'User Input'!$B$43=""),1,IF('User Input'!$B$43="minor",IF(IFERROR(MATCH(Profiles!W22,{"None","Light","Medium","Heavy"},0)-1,0)&gt;=3,0.7,IF(IFERROR(MATCH(Profiles!W22,{"None","Light","Medium","Heavy"},0)-1,0)&gt;=2,0.85,1)),IF('User Input'!$B$43="joint",IF(OR(IFERROR(MATCH(Profiles!W22,{"None","Light","Medium","Heavy"},0)-1,0)&gt;=3,IFERROR(MATCH(Profiles!AB22,{"Low","Medium","High"},0)-1,0)&gt;=2),0.5,IF(OR(IFERROR(MATCH(Profiles!W22,{"None","Light","Medium","Heavy"},0)-1,0)&gt;=2,IFERROR(MATCH(Profiles!AB22,{"Low","Medium","High"},0)-1,0)&gt;=1),0.75,1)),IF(OR(IFERROR(MATCH(Profiles!W22,{"None","Light","Medium","Heavy"},0)-1,0)&gt;=2,IFERROR(MATCH(Profiles!AB22,{"Low","Medium","High"},0)-1,0)&gt;=2),0.3,IF(OR(IFERROR(MATCH(Profiles!W22,{"None","Light","Medium","Heavy"},0)-1,0)&gt;=1,IFERROR(MATCH(Profiles!AB22,{"Low","Medium","High"},0)-1,0)&gt;=1),0.6,0.9)))))</f>
        <v/>
      </c>
    </row>
    <row r="22" ht="23.25" customHeight="1" s="37">
      <c r="A22" s="59">
        <f>Profiles!A23</f>
        <v/>
      </c>
      <c r="B22" s="59">
        <f>Profiles!B23</f>
        <v/>
      </c>
      <c r="C22" s="59">
        <f>Profiles!C23</f>
        <v/>
      </c>
      <c r="D22" s="59">
        <f>Profiles!D23</f>
        <v/>
      </c>
      <c r="E22" s="60">
        <f>IF(ISNUMBER(Profiles!E23),IF(ISNUMBER(Profiles!F23),MAX(0,1-(MAX(0,ABS('User Input'!$B$9-Profiles!E23)-Profiles!F23))/Profiles!F23/3),MAX(0,1-ABS('User Input'!$B$9-Profiles!E23)/(Profiles!E23*0.1)/3)),0.5)</f>
        <v/>
      </c>
      <c r="F22" s="60">
        <f>IF(ISNUMBER(Profiles!G23),IF(ISNUMBER(Profiles!H23),MAX(0,1-(MAX(0,ABS('User Input'!$B$10-Profiles!G23)-Profiles!H23))/Profiles!H23/3),MAX(0,1-ABS('User Input'!$B$10-Profiles!G23)/(Profiles!G23*0.15)/3)),0.5)</f>
        <v/>
      </c>
      <c r="G22" s="60">
        <f>IF(ISNUMBER(Profiles!J23),MAX(0,1-ABS('User Input'!$B$12-Profiles!J23)/5/3),0.5)</f>
        <v/>
      </c>
      <c r="H22" s="60">
        <f>IF(ISNUMBER(Profiles!K23),MAX(0,1-ABS('User Input'!$B$14-Profiles!K23)/0.03/3),"n/a")</f>
        <v/>
      </c>
      <c r="I22" s="61">
        <f>100*MAX(0,1-(MAX(0,Profiles!M23-'User Input'!$B$17)+0.5*MAX(0,'User Input'!$B$17-Profiles!M23)+MAX(0,Profiles!N23-'User Input'!$B$18)+0.5*MAX(0,'User Input'!$B$18-Profiles!N23)+MAX(0,Profiles!O23-'User Input'!$B$19)+0.5*MAX(0,'User Input'!$B$19-Profiles!O23)+MAX(0,Profiles!P23-'User Input'!$B$20)+0.5*MAX(0,'User Input'!$B$20-Profiles!P23)+MAX(0,Profiles!Q23-'User Input'!$B$21)+0.5*MAX(0,'User Input'!$B$21-Profiles!Q23)+MAX(0,Profiles!S23-'User Input'!$B$22)+0.5*MAX(0,'User Input'!$B$22-Profiles!S23)+MAX(0,Profiles!T23-'User Input'!$B$23)+0.5*MAX(0,'User Input'!$B$23-Profiles!T23)+MAX(0,Profiles!U23-'User Input'!$B$24)+0.5*MAX(0,'User Input'!$B$24-Profiles!U23))/40)</f>
        <v/>
      </c>
      <c r="J22" s="61">
        <f>ROUND(60*(E22+F22+G22+IFERROR(VALUE(H22),(E22+F22+G22)/3))/4 + 0.4*I22,1)</f>
        <v/>
      </c>
      <c r="K22" s="60">
        <f>IF(OR(AND('User Input'!$B$6="M",Profiles!$AG23="M"),AND('User Input'!$B$6="F",Profiles!$AG23="F")),1,0)</f>
        <v/>
      </c>
      <c r="L22" s="60">
        <f>IF('User Input'!$B$27="Either",(IF(Profiles!V23&gt;=4,1,0.3)+IF(OR(Profiles!V23&lt;=2,ISNUMBER(SEARCH("Individual",Profiles!D23))),1,0.3))/2,IF('User Input'!$B$27="Team",IF(Profiles!V23&gt;=4,1,0.3),IF(OR(Profiles!V23&lt;=2,ISNUMBER(SEARCH("Individual",Profiles!D23))),1,0.3)))</f>
        <v/>
      </c>
      <c r="M22" s="60">
        <f>IF(IFERROR(MATCH(Profiles!W23,{"None","Light","Medium","Heavy"},0)-1,0)&lt;=IFERROR(MATCH('User Input'!$B$28,{"None","Light","Medium","Heavy"},0)-1,3),1,MAX(0,1-0.4*(IFERROR(MATCH(Profiles!W23,{"None","Light","Medium","Heavy"},0)-1,0)-IFERROR(MATCH('User Input'!$B$28,{"None","Light","Medium","Heavy"},0)-1,3))))</f>
        <v/>
      </c>
      <c r="N22" s="60">
        <f>IF('User Input'!$B$29="neutral",1,IF('User Input'!$B$29="essential",IF(ISNUMBER(SEARCH("Outdoor",Profiles!X23)),1,0.3),IF('User Input'!$B$29="nice",IF(ISNUMBER(SEARCH("Outdoor",Profiles!X23)),1,0.65),IF('User Input'!$B$29="indoor",IF(ISNUMBER(SEARCH("Indoor",Profiles!X23)),1,0.4),1))))</f>
        <v/>
      </c>
      <c r="O22" s="60">
        <f>IF('User Input'!$B$30="Yes",1,IF(Profiles!Y23="Yes",0,1))</f>
        <v/>
      </c>
      <c r="P22" s="60">
        <f>IF(IFERROR(MATCH(Profiles!Z23,{"Low","Medium","High"},0),2)&lt;=IFERROR(MATCH('User Input'!$B$31,{"Low","Medium","High"},0),2),1,MAX(0,1-0.4*(IFERROR(MATCH(Profiles!Z23,{"Low","Medium","High"},0),2)-IFERROR(MATCH('User Input'!$B$31,{"Low","Medium","High"},0),2))))</f>
        <v/>
      </c>
      <c r="Q22" s="60">
        <f>IF('User Input'!$B$32="Yes",IF(ISNUMBER(Profiles!AC23),Profiles!AC23/10,0.5),1)</f>
        <v/>
      </c>
      <c r="R22" s="61">
        <f>IF(OR(K22=0,O22=0),0,ROUND(MIN(100,100*(K22*0.1+L22*0.2+M22*0.2+N22*0.1+P22*0.15+Q22*0.25)*W22*X22*Y22*Z22),1))</f>
        <v/>
      </c>
      <c r="S22" s="61">
        <f>IF(R22=0,0,ROUND(0.5*J22+0.5*R22,1))</f>
        <v/>
      </c>
      <c r="T22" s="36">
        <f>J22-ROW()/1000000</f>
        <v/>
      </c>
      <c r="U22" s="36">
        <f>R22-ROW()/1000000</f>
        <v/>
      </c>
      <c r="V22" s="36">
        <f>S22-ROW()/1000000</f>
        <v/>
      </c>
      <c r="W22" s="36">
        <f>IF(OR(AND(OR(Profiles!D23="Team field",Profiles!D23="Team field contact",Profiles!D23="Team field stick"),'User Input'!$B$34="Yes"),AND(OR(Profiles!D23="Team court",Profiles!D23="Team court contact"),'User Input'!$B$35="Yes"),AND(Profiles!D23="Individual racquet",'User Input'!$B$36="Yes"),AND(OR(Profiles!D23="Combat striking",Profiles!D23="Combat grappling",Profiles!D23="Combat mixed"),'User Input'!$B$37="Yes"),AND(OR(Profiles!D23="Team water contact",Profiles!D23="Individual water"),'User Input'!$B$38="Yes"),AND(OR(Profiles!D23="Endurance individual",Profiles!D23="Endurance individual / pair",Profiles!D23="Endurance individual / pursuit",Profiles!D23="Endurance team / pair",Profiles!D23="Endurance multi"),'User Input'!$B$39="Yes"),AND(OR(Profiles!D23="Strength individual",Profiles!D23="Power-throw individual"),'User Input'!$B$40="Yes"),AND(OR(Profiles!D23="Individual technical",Profiles!D23="Individual aesthetic",Profiles!D23="Team precision"),'User Input'!$B$41="Yes")),1.15,1)</f>
        <v/>
      </c>
      <c r="X22" s="36">
        <f>IF('User Input'!$B$33&lt;&gt;"none",1,IF(IFERROR(VALUE(TRIM(MID(SUBSTITUTE(SUBSTITUTE(Profiles!AA23,"–","-"),"-",REPT(" ",100)),100,100)))&lt;=14,FALSE),0.7,1))</f>
        <v/>
      </c>
      <c r="Y22" s="36">
        <f>IF(OR('User Input'!$B$42="under30",'User Input'!$B$42=""),1,IF('User Input'!$B$42="30to45",IF((IFERROR(MATCH(Profiles!W23,{"None","Light","Medium","Heavy"},0)-1,0)+IFERROR(MATCH(Profiles!AB23,{"Low","Medium","High"},0)-1,0))&gt;=5,0.85,1),IF('User Input'!$B$42="46to60",IF((IFERROR(MATCH(Profiles!W23,{"None","Light","Medium","Heavy"},0)-1,0)+IFERROR(MATCH(Profiles!AB23,{"Low","Medium","High"},0)-1,0))&gt;=5,0.65,IF((IFERROR(MATCH(Profiles!W23,{"None","Light","Medium","Heavy"},0)-1,0)+IFERROR(MATCH(Profiles!AB23,{"Low","Medium","High"},0)-1,0))&gt;=4,0.8,IF((IFERROR(MATCH(Profiles!W23,{"None","Light","Medium","Heavy"},0)-1,0)+IFERROR(MATCH(Profiles!AB23,{"Low","Medium","High"},0)-1,0))&gt;=3,0.9,1))),IF((IFERROR(MATCH(Profiles!W23,{"None","Light","Medium","Heavy"},0)-1,0)+IFERROR(MATCH(Profiles!AB23,{"Low","Medium","High"},0)-1,0))&gt;=5,0.4,IF((IFERROR(MATCH(Profiles!W23,{"None","Light","Medium","Heavy"},0)-1,0)+IFERROR(MATCH(Profiles!AB23,{"Low","Medium","High"},0)-1,0))&gt;=4,0.6,IF((IFERROR(MATCH(Profiles!W23,{"None","Light","Medium","Heavy"},0)-1,0)+IFERROR(MATCH(Profiles!AB23,{"Low","Medium","High"},0)-1,0))&gt;=3,0.75,IF((IFERROR(MATCH(Profiles!W23,{"None","Light","Medium","Heavy"},0)-1,0)+IFERROR(MATCH(Profiles!AB23,{"Low","Medium","High"},0)-1,0))&gt;=2,0.85,1)))))))</f>
        <v/>
      </c>
      <c r="Z22" s="36">
        <f>IF(OR('User Input'!$B$43="none",'User Input'!$B$43=""),1,IF('User Input'!$B$43="minor",IF(IFERROR(MATCH(Profiles!W23,{"None","Light","Medium","Heavy"},0)-1,0)&gt;=3,0.7,IF(IFERROR(MATCH(Profiles!W23,{"None","Light","Medium","Heavy"},0)-1,0)&gt;=2,0.85,1)),IF('User Input'!$B$43="joint",IF(OR(IFERROR(MATCH(Profiles!W23,{"None","Light","Medium","Heavy"},0)-1,0)&gt;=3,IFERROR(MATCH(Profiles!AB23,{"Low","Medium","High"},0)-1,0)&gt;=2),0.5,IF(OR(IFERROR(MATCH(Profiles!W23,{"None","Light","Medium","Heavy"},0)-1,0)&gt;=2,IFERROR(MATCH(Profiles!AB23,{"Low","Medium","High"},0)-1,0)&gt;=1),0.75,1)),IF(OR(IFERROR(MATCH(Profiles!W23,{"None","Light","Medium","Heavy"},0)-1,0)&gt;=2,IFERROR(MATCH(Profiles!AB23,{"Low","Medium","High"},0)-1,0)&gt;=2),0.3,IF(OR(IFERROR(MATCH(Profiles!W23,{"None","Light","Medium","Heavy"},0)-1,0)&gt;=1,IFERROR(MATCH(Profiles!AB23,{"Low","Medium","High"},0)-1,0)&gt;=1),0.6,0.9)))))</f>
        <v/>
      </c>
    </row>
    <row r="23" ht="15" customHeight="1" s="37">
      <c r="A23" s="59">
        <f>Profiles!A24</f>
        <v/>
      </c>
      <c r="B23" s="59">
        <f>Profiles!B24</f>
        <v/>
      </c>
      <c r="C23" s="59">
        <f>Profiles!C24</f>
        <v/>
      </c>
      <c r="D23" s="59">
        <f>Profiles!D24</f>
        <v/>
      </c>
      <c r="E23" s="60">
        <f>IF(ISNUMBER(Profiles!E24),IF(ISNUMBER(Profiles!F24),MAX(0,1-(MAX(0,ABS('User Input'!$B$9-Profiles!E24)-Profiles!F24))/Profiles!F24/3),MAX(0,1-ABS('User Input'!$B$9-Profiles!E24)/(Profiles!E24*0.1)/3)),0.5)</f>
        <v/>
      </c>
      <c r="F23" s="60">
        <f>IF(ISNUMBER(Profiles!G24),IF(ISNUMBER(Profiles!H24),MAX(0,1-(MAX(0,ABS('User Input'!$B$10-Profiles!G24)-Profiles!H24))/Profiles!H24/3),MAX(0,1-ABS('User Input'!$B$10-Profiles!G24)/(Profiles!G24*0.15)/3)),0.5)</f>
        <v/>
      </c>
      <c r="G23" s="60">
        <f>IF(ISNUMBER(Profiles!J24),MAX(0,1-ABS('User Input'!$B$12-Profiles!J24)/5/3),0.5)</f>
        <v/>
      </c>
      <c r="H23" s="60">
        <f>IF(ISNUMBER(Profiles!K24),MAX(0,1-ABS('User Input'!$B$14-Profiles!K24)/0.03/3),"n/a")</f>
        <v/>
      </c>
      <c r="I23" s="61">
        <f>100*MAX(0,1-(MAX(0,Profiles!M24-'User Input'!$B$17)+0.5*MAX(0,'User Input'!$B$17-Profiles!M24)+MAX(0,Profiles!N24-'User Input'!$B$18)+0.5*MAX(0,'User Input'!$B$18-Profiles!N24)+MAX(0,Profiles!O24-'User Input'!$B$19)+0.5*MAX(0,'User Input'!$B$19-Profiles!O24)+MAX(0,Profiles!P24-'User Input'!$B$20)+0.5*MAX(0,'User Input'!$B$20-Profiles!P24)+MAX(0,Profiles!Q24-'User Input'!$B$21)+0.5*MAX(0,'User Input'!$B$21-Profiles!Q24)+MAX(0,Profiles!S24-'User Input'!$B$22)+0.5*MAX(0,'User Input'!$B$22-Profiles!S24)+MAX(0,Profiles!T24-'User Input'!$B$23)+0.5*MAX(0,'User Input'!$B$23-Profiles!T24)+MAX(0,Profiles!U24-'User Input'!$B$24)+0.5*MAX(0,'User Input'!$B$24-Profiles!U24))/40)</f>
        <v/>
      </c>
      <c r="J23" s="61">
        <f>ROUND(60*(E23+F23+G23+IFERROR(VALUE(H23),(E23+F23+G23)/3))/4 + 0.4*I23,1)</f>
        <v/>
      </c>
      <c r="K23" s="60">
        <f>IF(OR(AND('User Input'!$B$6="M",Profiles!$AG24="M"),AND('User Input'!$B$6="F",Profiles!$AG24="F")),1,0)</f>
        <v/>
      </c>
      <c r="L23" s="60">
        <f>IF('User Input'!$B$27="Either",(IF(Profiles!V24&gt;=4,1,0.3)+IF(OR(Profiles!V24&lt;=2,ISNUMBER(SEARCH("Individual",Profiles!D24))),1,0.3))/2,IF('User Input'!$B$27="Team",IF(Profiles!V24&gt;=4,1,0.3),IF(OR(Profiles!V24&lt;=2,ISNUMBER(SEARCH("Individual",Profiles!D24))),1,0.3)))</f>
        <v/>
      </c>
      <c r="M23" s="60">
        <f>IF(IFERROR(MATCH(Profiles!W24,{"None","Light","Medium","Heavy"},0)-1,0)&lt;=IFERROR(MATCH('User Input'!$B$28,{"None","Light","Medium","Heavy"},0)-1,3),1,MAX(0,1-0.4*(IFERROR(MATCH(Profiles!W24,{"None","Light","Medium","Heavy"},0)-1,0)-IFERROR(MATCH('User Input'!$B$28,{"None","Light","Medium","Heavy"},0)-1,3))))</f>
        <v/>
      </c>
      <c r="N23" s="60">
        <f>IF('User Input'!$B$29="neutral",1,IF('User Input'!$B$29="essential",IF(ISNUMBER(SEARCH("Outdoor",Profiles!X24)),1,0.3),IF('User Input'!$B$29="nice",IF(ISNUMBER(SEARCH("Outdoor",Profiles!X24)),1,0.65),IF('User Input'!$B$29="indoor",IF(ISNUMBER(SEARCH("Indoor",Profiles!X24)),1,0.4),1))))</f>
        <v/>
      </c>
      <c r="O23" s="60">
        <f>IF('User Input'!$B$30="Yes",1,IF(Profiles!Y24="Yes",0,1))</f>
        <v/>
      </c>
      <c r="P23" s="60">
        <f>IF(IFERROR(MATCH(Profiles!Z24,{"Low","Medium","High"},0),2)&lt;=IFERROR(MATCH('User Input'!$B$31,{"Low","Medium","High"},0),2),1,MAX(0,1-0.4*(IFERROR(MATCH(Profiles!Z24,{"Low","Medium","High"},0),2)-IFERROR(MATCH('User Input'!$B$31,{"Low","Medium","High"},0),2))))</f>
        <v/>
      </c>
      <c r="Q23" s="60">
        <f>IF('User Input'!$B$32="Yes",IF(ISNUMBER(Profiles!AC24),Profiles!AC24/10,0.5),1)</f>
        <v/>
      </c>
      <c r="R23" s="61">
        <f>IF(OR(K23=0,O23=0),0,ROUND(MIN(100,100*(K23*0.1+L23*0.2+M23*0.2+N23*0.1+P23*0.15+Q23*0.25)*W23*X23*Y23*Z23),1))</f>
        <v/>
      </c>
      <c r="S23" s="61">
        <f>IF(R23=0,0,ROUND(0.5*J23+0.5*R23,1))</f>
        <v/>
      </c>
      <c r="T23" s="36">
        <f>J23-ROW()/1000000</f>
        <v/>
      </c>
      <c r="U23" s="36">
        <f>R23-ROW()/1000000</f>
        <v/>
      </c>
      <c r="V23" s="36">
        <f>S23-ROW()/1000000</f>
        <v/>
      </c>
      <c r="W23" s="36">
        <f>IF(OR(AND(OR(Profiles!D24="Team field",Profiles!D24="Team field contact",Profiles!D24="Team field stick"),'User Input'!$B$34="Yes"),AND(OR(Profiles!D24="Team court",Profiles!D24="Team court contact"),'User Input'!$B$35="Yes"),AND(Profiles!D24="Individual racquet",'User Input'!$B$36="Yes"),AND(OR(Profiles!D24="Combat striking",Profiles!D24="Combat grappling",Profiles!D24="Combat mixed"),'User Input'!$B$37="Yes"),AND(OR(Profiles!D24="Team water contact",Profiles!D24="Individual water"),'User Input'!$B$38="Yes"),AND(OR(Profiles!D24="Endurance individual",Profiles!D24="Endurance individual / pair",Profiles!D24="Endurance individual / pursuit",Profiles!D24="Endurance team / pair",Profiles!D24="Endurance multi"),'User Input'!$B$39="Yes"),AND(OR(Profiles!D24="Strength individual",Profiles!D24="Power-throw individual"),'User Input'!$B$40="Yes"),AND(OR(Profiles!D24="Individual technical",Profiles!D24="Individual aesthetic",Profiles!D24="Team precision"),'User Input'!$B$41="Yes")),1.15,1)</f>
        <v/>
      </c>
      <c r="X23" s="36">
        <f>IF('User Input'!$B$33&lt;&gt;"none",1,IF(IFERROR(VALUE(TRIM(MID(SUBSTITUTE(SUBSTITUTE(Profiles!AA24,"–","-"),"-",REPT(" ",100)),100,100)))&lt;=14,FALSE),0.7,1))</f>
        <v/>
      </c>
      <c r="Y23" s="36">
        <f>IF(OR('User Input'!$B$42="under30",'User Input'!$B$42=""),1,IF('User Input'!$B$42="30to45",IF((IFERROR(MATCH(Profiles!W24,{"None","Light","Medium","Heavy"},0)-1,0)+IFERROR(MATCH(Profiles!AB24,{"Low","Medium","High"},0)-1,0))&gt;=5,0.85,1),IF('User Input'!$B$42="46to60",IF((IFERROR(MATCH(Profiles!W24,{"None","Light","Medium","Heavy"},0)-1,0)+IFERROR(MATCH(Profiles!AB24,{"Low","Medium","High"},0)-1,0))&gt;=5,0.65,IF((IFERROR(MATCH(Profiles!W24,{"None","Light","Medium","Heavy"},0)-1,0)+IFERROR(MATCH(Profiles!AB24,{"Low","Medium","High"},0)-1,0))&gt;=4,0.8,IF((IFERROR(MATCH(Profiles!W24,{"None","Light","Medium","Heavy"},0)-1,0)+IFERROR(MATCH(Profiles!AB24,{"Low","Medium","High"},0)-1,0))&gt;=3,0.9,1))),IF((IFERROR(MATCH(Profiles!W24,{"None","Light","Medium","Heavy"},0)-1,0)+IFERROR(MATCH(Profiles!AB24,{"Low","Medium","High"},0)-1,0))&gt;=5,0.4,IF((IFERROR(MATCH(Profiles!W24,{"None","Light","Medium","Heavy"},0)-1,0)+IFERROR(MATCH(Profiles!AB24,{"Low","Medium","High"},0)-1,0))&gt;=4,0.6,IF((IFERROR(MATCH(Profiles!W24,{"None","Light","Medium","Heavy"},0)-1,0)+IFERROR(MATCH(Profiles!AB24,{"Low","Medium","High"},0)-1,0))&gt;=3,0.75,IF((IFERROR(MATCH(Profiles!W24,{"None","Light","Medium","Heavy"},0)-1,0)+IFERROR(MATCH(Profiles!AB24,{"Low","Medium","High"},0)-1,0))&gt;=2,0.85,1)))))))</f>
        <v/>
      </c>
      <c r="Z23" s="36">
        <f>IF(OR('User Input'!$B$43="none",'User Input'!$B$43=""),1,IF('User Input'!$B$43="minor",IF(IFERROR(MATCH(Profiles!W24,{"None","Light","Medium","Heavy"},0)-1,0)&gt;=3,0.7,IF(IFERROR(MATCH(Profiles!W24,{"None","Light","Medium","Heavy"},0)-1,0)&gt;=2,0.85,1)),IF('User Input'!$B$43="joint",IF(OR(IFERROR(MATCH(Profiles!W24,{"None","Light","Medium","Heavy"},0)-1,0)&gt;=3,IFERROR(MATCH(Profiles!AB24,{"Low","Medium","High"},0)-1,0)&gt;=2),0.5,IF(OR(IFERROR(MATCH(Profiles!W24,{"None","Light","Medium","Heavy"},0)-1,0)&gt;=2,IFERROR(MATCH(Profiles!AB24,{"Low","Medium","High"},0)-1,0)&gt;=1),0.75,1)),IF(OR(IFERROR(MATCH(Profiles!W24,{"None","Light","Medium","Heavy"},0)-1,0)&gt;=2,IFERROR(MATCH(Profiles!AB24,{"Low","Medium","High"},0)-1,0)&gt;=2),0.3,IF(OR(IFERROR(MATCH(Profiles!W24,{"None","Light","Medium","Heavy"},0)-1,0)&gt;=1,IFERROR(MATCH(Profiles!AB24,{"Low","Medium","High"},0)-1,0)&gt;=1),0.6,0.9)))))</f>
        <v/>
      </c>
    </row>
    <row r="24" ht="15" customHeight="1" s="37">
      <c r="A24" s="59">
        <f>Profiles!A25</f>
        <v/>
      </c>
      <c r="B24" s="59">
        <f>Profiles!B25</f>
        <v/>
      </c>
      <c r="C24" s="59">
        <f>Profiles!C25</f>
        <v/>
      </c>
      <c r="D24" s="59">
        <f>Profiles!D25</f>
        <v/>
      </c>
      <c r="E24" s="60">
        <f>IF(ISNUMBER(Profiles!E25),IF(ISNUMBER(Profiles!F25),MAX(0,1-(MAX(0,ABS('User Input'!$B$9-Profiles!E25)-Profiles!F25))/Profiles!F25/3),MAX(0,1-ABS('User Input'!$B$9-Profiles!E25)/(Profiles!E25*0.1)/3)),0.5)</f>
        <v/>
      </c>
      <c r="F24" s="60">
        <f>IF(ISNUMBER(Profiles!G25),IF(ISNUMBER(Profiles!H25),MAX(0,1-(MAX(0,ABS('User Input'!$B$10-Profiles!G25)-Profiles!H25))/Profiles!H25/3),MAX(0,1-ABS('User Input'!$B$10-Profiles!G25)/(Profiles!G25*0.15)/3)),0.5)</f>
        <v/>
      </c>
      <c r="G24" s="60">
        <f>IF(ISNUMBER(Profiles!J25),MAX(0,1-ABS('User Input'!$B$12-Profiles!J25)/5/3),0.5)</f>
        <v/>
      </c>
      <c r="H24" s="60">
        <f>IF(ISNUMBER(Profiles!K25),MAX(0,1-ABS('User Input'!$B$14-Profiles!K25)/0.03/3),"n/a")</f>
        <v/>
      </c>
      <c r="I24" s="61">
        <f>100*MAX(0,1-(MAX(0,Profiles!M25-'User Input'!$B$17)+0.5*MAX(0,'User Input'!$B$17-Profiles!M25)+MAX(0,Profiles!N25-'User Input'!$B$18)+0.5*MAX(0,'User Input'!$B$18-Profiles!N25)+MAX(0,Profiles!O25-'User Input'!$B$19)+0.5*MAX(0,'User Input'!$B$19-Profiles!O25)+MAX(0,Profiles!P25-'User Input'!$B$20)+0.5*MAX(0,'User Input'!$B$20-Profiles!P25)+MAX(0,Profiles!Q25-'User Input'!$B$21)+0.5*MAX(0,'User Input'!$B$21-Profiles!Q25)+MAX(0,Profiles!S25-'User Input'!$B$22)+0.5*MAX(0,'User Input'!$B$22-Profiles!S25)+MAX(0,Profiles!T25-'User Input'!$B$23)+0.5*MAX(0,'User Input'!$B$23-Profiles!T25)+MAX(0,Profiles!U25-'User Input'!$B$24)+0.5*MAX(0,'User Input'!$B$24-Profiles!U25))/40)</f>
        <v/>
      </c>
      <c r="J24" s="61">
        <f>ROUND(60*(E24+F24+G24+IFERROR(VALUE(H24),(E24+F24+G24)/3))/4 + 0.4*I24,1)</f>
        <v/>
      </c>
      <c r="K24" s="60">
        <f>IF(OR(AND('User Input'!$B$6="M",Profiles!$AG25="M"),AND('User Input'!$B$6="F",Profiles!$AG25="F")),1,0)</f>
        <v/>
      </c>
      <c r="L24" s="60">
        <f>IF('User Input'!$B$27="Either",(IF(Profiles!V25&gt;=4,1,0.3)+IF(OR(Profiles!V25&lt;=2,ISNUMBER(SEARCH("Individual",Profiles!D25))),1,0.3))/2,IF('User Input'!$B$27="Team",IF(Profiles!V25&gt;=4,1,0.3),IF(OR(Profiles!V25&lt;=2,ISNUMBER(SEARCH("Individual",Profiles!D25))),1,0.3)))</f>
        <v/>
      </c>
      <c r="M24" s="60">
        <f>IF(IFERROR(MATCH(Profiles!W25,{"None","Light","Medium","Heavy"},0)-1,0)&lt;=IFERROR(MATCH('User Input'!$B$28,{"None","Light","Medium","Heavy"},0)-1,3),1,MAX(0,1-0.4*(IFERROR(MATCH(Profiles!W25,{"None","Light","Medium","Heavy"},0)-1,0)-IFERROR(MATCH('User Input'!$B$28,{"None","Light","Medium","Heavy"},0)-1,3))))</f>
        <v/>
      </c>
      <c r="N24" s="60">
        <f>IF('User Input'!$B$29="neutral",1,IF('User Input'!$B$29="essential",IF(ISNUMBER(SEARCH("Outdoor",Profiles!X25)),1,0.3),IF('User Input'!$B$29="nice",IF(ISNUMBER(SEARCH("Outdoor",Profiles!X25)),1,0.65),IF('User Input'!$B$29="indoor",IF(ISNUMBER(SEARCH("Indoor",Profiles!X25)),1,0.4),1))))</f>
        <v/>
      </c>
      <c r="O24" s="60">
        <f>IF('User Input'!$B$30="Yes",1,IF(Profiles!Y25="Yes",0,1))</f>
        <v/>
      </c>
      <c r="P24" s="60">
        <f>IF(IFERROR(MATCH(Profiles!Z25,{"Low","Medium","High"},0),2)&lt;=IFERROR(MATCH('User Input'!$B$31,{"Low","Medium","High"},0),2),1,MAX(0,1-0.4*(IFERROR(MATCH(Profiles!Z25,{"Low","Medium","High"},0),2)-IFERROR(MATCH('User Input'!$B$31,{"Low","Medium","High"},0),2))))</f>
        <v/>
      </c>
      <c r="Q24" s="60">
        <f>IF('User Input'!$B$32="Yes",IF(ISNUMBER(Profiles!AC25),Profiles!AC25/10,0.5),1)</f>
        <v/>
      </c>
      <c r="R24" s="61">
        <f>IF(OR(K24=0,O24=0),0,ROUND(MIN(100,100*(K24*0.1+L24*0.2+M24*0.2+N24*0.1+P24*0.15+Q24*0.25)*W24*X24*Y24*Z24),1))</f>
        <v/>
      </c>
      <c r="S24" s="61">
        <f>IF(R24=0,0,ROUND(0.5*J24+0.5*R24,1))</f>
        <v/>
      </c>
      <c r="T24" s="36">
        <f>J24-ROW()/1000000</f>
        <v/>
      </c>
      <c r="U24" s="36">
        <f>R24-ROW()/1000000</f>
        <v/>
      </c>
      <c r="V24" s="36">
        <f>S24-ROW()/1000000</f>
        <v/>
      </c>
      <c r="W24" s="36">
        <f>IF(OR(AND(OR(Profiles!D25="Team field",Profiles!D25="Team field contact",Profiles!D25="Team field stick"),'User Input'!$B$34="Yes"),AND(OR(Profiles!D25="Team court",Profiles!D25="Team court contact"),'User Input'!$B$35="Yes"),AND(Profiles!D25="Individual racquet",'User Input'!$B$36="Yes"),AND(OR(Profiles!D25="Combat striking",Profiles!D25="Combat grappling",Profiles!D25="Combat mixed"),'User Input'!$B$37="Yes"),AND(OR(Profiles!D25="Team water contact",Profiles!D25="Individual water"),'User Input'!$B$38="Yes"),AND(OR(Profiles!D25="Endurance individual",Profiles!D25="Endurance individual / pair",Profiles!D25="Endurance individual / pursuit",Profiles!D25="Endurance team / pair",Profiles!D25="Endurance multi"),'User Input'!$B$39="Yes"),AND(OR(Profiles!D25="Strength individual",Profiles!D25="Power-throw individual"),'User Input'!$B$40="Yes"),AND(OR(Profiles!D25="Individual technical",Profiles!D25="Individual aesthetic",Profiles!D25="Team precision"),'User Input'!$B$41="Yes")),1.15,1)</f>
        <v/>
      </c>
      <c r="X24" s="36">
        <f>IF('User Input'!$B$33&lt;&gt;"none",1,IF(IFERROR(VALUE(TRIM(MID(SUBSTITUTE(SUBSTITUTE(Profiles!AA25,"–","-"),"-",REPT(" ",100)),100,100)))&lt;=14,FALSE),0.7,1))</f>
        <v/>
      </c>
      <c r="Y24" s="36">
        <f>IF(OR('User Input'!$B$42="under30",'User Input'!$B$42=""),1,IF('User Input'!$B$42="30to45",IF((IFERROR(MATCH(Profiles!W25,{"None","Light","Medium","Heavy"},0)-1,0)+IFERROR(MATCH(Profiles!AB25,{"Low","Medium","High"},0)-1,0))&gt;=5,0.85,1),IF('User Input'!$B$42="46to60",IF((IFERROR(MATCH(Profiles!W25,{"None","Light","Medium","Heavy"},0)-1,0)+IFERROR(MATCH(Profiles!AB25,{"Low","Medium","High"},0)-1,0))&gt;=5,0.65,IF((IFERROR(MATCH(Profiles!W25,{"None","Light","Medium","Heavy"},0)-1,0)+IFERROR(MATCH(Profiles!AB25,{"Low","Medium","High"},0)-1,0))&gt;=4,0.8,IF((IFERROR(MATCH(Profiles!W25,{"None","Light","Medium","Heavy"},0)-1,0)+IFERROR(MATCH(Profiles!AB25,{"Low","Medium","High"},0)-1,0))&gt;=3,0.9,1))),IF((IFERROR(MATCH(Profiles!W25,{"None","Light","Medium","Heavy"},0)-1,0)+IFERROR(MATCH(Profiles!AB25,{"Low","Medium","High"},0)-1,0))&gt;=5,0.4,IF((IFERROR(MATCH(Profiles!W25,{"None","Light","Medium","Heavy"},0)-1,0)+IFERROR(MATCH(Profiles!AB25,{"Low","Medium","High"},0)-1,0))&gt;=4,0.6,IF((IFERROR(MATCH(Profiles!W25,{"None","Light","Medium","Heavy"},0)-1,0)+IFERROR(MATCH(Profiles!AB25,{"Low","Medium","High"},0)-1,0))&gt;=3,0.75,IF((IFERROR(MATCH(Profiles!W25,{"None","Light","Medium","Heavy"},0)-1,0)+IFERROR(MATCH(Profiles!AB25,{"Low","Medium","High"},0)-1,0))&gt;=2,0.85,1)))))))</f>
        <v/>
      </c>
      <c r="Z24" s="36">
        <f>IF(OR('User Input'!$B$43="none",'User Input'!$B$43=""),1,IF('User Input'!$B$43="minor",IF(IFERROR(MATCH(Profiles!W25,{"None","Light","Medium","Heavy"},0)-1,0)&gt;=3,0.7,IF(IFERROR(MATCH(Profiles!W25,{"None","Light","Medium","Heavy"},0)-1,0)&gt;=2,0.85,1)),IF('User Input'!$B$43="joint",IF(OR(IFERROR(MATCH(Profiles!W25,{"None","Light","Medium","Heavy"},0)-1,0)&gt;=3,IFERROR(MATCH(Profiles!AB25,{"Low","Medium","High"},0)-1,0)&gt;=2),0.5,IF(OR(IFERROR(MATCH(Profiles!W25,{"None","Light","Medium","Heavy"},0)-1,0)&gt;=2,IFERROR(MATCH(Profiles!AB25,{"Low","Medium","High"},0)-1,0)&gt;=1),0.75,1)),IF(OR(IFERROR(MATCH(Profiles!W25,{"None","Light","Medium","Heavy"},0)-1,0)&gt;=2,IFERROR(MATCH(Profiles!AB25,{"Low","Medium","High"},0)-1,0)&gt;=2),0.3,IF(OR(IFERROR(MATCH(Profiles!W25,{"None","Light","Medium","Heavy"},0)-1,0)&gt;=1,IFERROR(MATCH(Profiles!AB25,{"Low","Medium","High"},0)-1,0)&gt;=1),0.6,0.9)))))</f>
        <v/>
      </c>
    </row>
    <row r="25" ht="15" customHeight="1" s="37">
      <c r="A25" s="59">
        <f>Profiles!A26</f>
        <v/>
      </c>
      <c r="B25" s="59">
        <f>Profiles!B26</f>
        <v/>
      </c>
      <c r="C25" s="59">
        <f>Profiles!C26</f>
        <v/>
      </c>
      <c r="D25" s="59">
        <f>Profiles!D26</f>
        <v/>
      </c>
      <c r="E25" s="60">
        <f>IF(ISNUMBER(Profiles!E26),IF(ISNUMBER(Profiles!F26),MAX(0,1-(MAX(0,ABS('User Input'!$B$9-Profiles!E26)-Profiles!F26))/Profiles!F26/3),MAX(0,1-ABS('User Input'!$B$9-Profiles!E26)/(Profiles!E26*0.1)/3)),0.5)</f>
        <v/>
      </c>
      <c r="F25" s="60">
        <f>IF(ISNUMBER(Profiles!G26),IF(ISNUMBER(Profiles!H26),MAX(0,1-(MAX(0,ABS('User Input'!$B$10-Profiles!G26)-Profiles!H26))/Profiles!H26/3),MAX(0,1-ABS('User Input'!$B$10-Profiles!G26)/(Profiles!G26*0.15)/3)),0.5)</f>
        <v/>
      </c>
      <c r="G25" s="60">
        <f>IF(ISNUMBER(Profiles!J26),MAX(0,1-ABS('User Input'!$B$12-Profiles!J26)/5/3),0.5)</f>
        <v/>
      </c>
      <c r="H25" s="60">
        <f>IF(ISNUMBER(Profiles!K26),MAX(0,1-ABS('User Input'!$B$14-Profiles!K26)/0.03/3),"n/a")</f>
        <v/>
      </c>
      <c r="I25" s="61">
        <f>100*MAX(0,1-(MAX(0,Profiles!M26-'User Input'!$B$17)+0.5*MAX(0,'User Input'!$B$17-Profiles!M26)+MAX(0,Profiles!N26-'User Input'!$B$18)+0.5*MAX(0,'User Input'!$B$18-Profiles!N26)+MAX(0,Profiles!O26-'User Input'!$B$19)+0.5*MAX(0,'User Input'!$B$19-Profiles!O26)+MAX(0,Profiles!P26-'User Input'!$B$20)+0.5*MAX(0,'User Input'!$B$20-Profiles!P26)+MAX(0,Profiles!Q26-'User Input'!$B$21)+0.5*MAX(0,'User Input'!$B$21-Profiles!Q26)+MAX(0,Profiles!S26-'User Input'!$B$22)+0.5*MAX(0,'User Input'!$B$22-Profiles!S26)+MAX(0,Profiles!T26-'User Input'!$B$23)+0.5*MAX(0,'User Input'!$B$23-Profiles!T26)+MAX(0,Profiles!U26-'User Input'!$B$24)+0.5*MAX(0,'User Input'!$B$24-Profiles!U26))/40)</f>
        <v/>
      </c>
      <c r="J25" s="61">
        <f>ROUND(60*(E25+F25+G25+IFERROR(VALUE(H25),(E25+F25+G25)/3))/4 + 0.4*I25,1)</f>
        <v/>
      </c>
      <c r="K25" s="60">
        <f>IF(OR(AND('User Input'!$B$6="M",Profiles!$AG26="M"),AND('User Input'!$B$6="F",Profiles!$AG26="F")),1,0)</f>
        <v/>
      </c>
      <c r="L25" s="60">
        <f>IF('User Input'!$B$27="Either",(IF(Profiles!V26&gt;=4,1,0.3)+IF(OR(Profiles!V26&lt;=2,ISNUMBER(SEARCH("Individual",Profiles!D26))),1,0.3))/2,IF('User Input'!$B$27="Team",IF(Profiles!V26&gt;=4,1,0.3),IF(OR(Profiles!V26&lt;=2,ISNUMBER(SEARCH("Individual",Profiles!D26))),1,0.3)))</f>
        <v/>
      </c>
      <c r="M25" s="60">
        <f>IF(IFERROR(MATCH(Profiles!W26,{"None","Light","Medium","Heavy"},0)-1,0)&lt;=IFERROR(MATCH('User Input'!$B$28,{"None","Light","Medium","Heavy"},0)-1,3),1,MAX(0,1-0.4*(IFERROR(MATCH(Profiles!W26,{"None","Light","Medium","Heavy"},0)-1,0)-IFERROR(MATCH('User Input'!$B$28,{"None","Light","Medium","Heavy"},0)-1,3))))</f>
        <v/>
      </c>
      <c r="N25" s="60">
        <f>IF('User Input'!$B$29="neutral",1,IF('User Input'!$B$29="essential",IF(ISNUMBER(SEARCH("Outdoor",Profiles!X26)),1,0.3),IF('User Input'!$B$29="nice",IF(ISNUMBER(SEARCH("Outdoor",Profiles!X26)),1,0.65),IF('User Input'!$B$29="indoor",IF(ISNUMBER(SEARCH("Indoor",Profiles!X26)),1,0.4),1))))</f>
        <v/>
      </c>
      <c r="O25" s="60">
        <f>IF('User Input'!$B$30="Yes",1,IF(Profiles!Y26="Yes",0,1))</f>
        <v/>
      </c>
      <c r="P25" s="60">
        <f>IF(IFERROR(MATCH(Profiles!Z26,{"Low","Medium","High"},0),2)&lt;=IFERROR(MATCH('User Input'!$B$31,{"Low","Medium","High"},0),2),1,MAX(0,1-0.4*(IFERROR(MATCH(Profiles!Z26,{"Low","Medium","High"},0),2)-IFERROR(MATCH('User Input'!$B$31,{"Low","Medium","High"},0),2))))</f>
        <v/>
      </c>
      <c r="Q25" s="60">
        <f>IF('User Input'!$B$32="Yes",IF(ISNUMBER(Profiles!AC26),Profiles!AC26/10,0.5),1)</f>
        <v/>
      </c>
      <c r="R25" s="61">
        <f>IF(OR(K25=0,O25=0),0,ROUND(MIN(100,100*(K25*0.1+L25*0.2+M25*0.2+N25*0.1+P25*0.15+Q25*0.25)*W25*X25*Y25*Z25),1))</f>
        <v/>
      </c>
      <c r="S25" s="61">
        <f>IF(R25=0,0,ROUND(0.5*J25+0.5*R25,1))</f>
        <v/>
      </c>
      <c r="T25" s="36">
        <f>J25-ROW()/1000000</f>
        <v/>
      </c>
      <c r="U25" s="36">
        <f>R25-ROW()/1000000</f>
        <v/>
      </c>
      <c r="V25" s="36">
        <f>S25-ROW()/1000000</f>
        <v/>
      </c>
      <c r="W25" s="36">
        <f>IF(OR(AND(OR(Profiles!D26="Team field",Profiles!D26="Team field contact",Profiles!D26="Team field stick"),'User Input'!$B$34="Yes"),AND(OR(Profiles!D26="Team court",Profiles!D26="Team court contact"),'User Input'!$B$35="Yes"),AND(Profiles!D26="Individual racquet",'User Input'!$B$36="Yes"),AND(OR(Profiles!D26="Combat striking",Profiles!D26="Combat grappling",Profiles!D26="Combat mixed"),'User Input'!$B$37="Yes"),AND(OR(Profiles!D26="Team water contact",Profiles!D26="Individual water"),'User Input'!$B$38="Yes"),AND(OR(Profiles!D26="Endurance individual",Profiles!D26="Endurance individual / pair",Profiles!D26="Endurance individual / pursuit",Profiles!D26="Endurance team / pair",Profiles!D26="Endurance multi"),'User Input'!$B$39="Yes"),AND(OR(Profiles!D26="Strength individual",Profiles!D26="Power-throw individual"),'User Input'!$B$40="Yes"),AND(OR(Profiles!D26="Individual technical",Profiles!D26="Individual aesthetic",Profiles!D26="Team precision"),'User Input'!$B$41="Yes")),1.15,1)</f>
        <v/>
      </c>
      <c r="X25" s="36">
        <f>IF('User Input'!$B$33&lt;&gt;"none",1,IF(IFERROR(VALUE(TRIM(MID(SUBSTITUTE(SUBSTITUTE(Profiles!AA26,"–","-"),"-",REPT(" ",100)),100,100)))&lt;=14,FALSE),0.7,1))</f>
        <v/>
      </c>
      <c r="Y25" s="36">
        <f>IF(OR('User Input'!$B$42="under30",'User Input'!$B$42=""),1,IF('User Input'!$B$42="30to45",IF((IFERROR(MATCH(Profiles!W26,{"None","Light","Medium","Heavy"},0)-1,0)+IFERROR(MATCH(Profiles!AB26,{"Low","Medium","High"},0)-1,0))&gt;=5,0.85,1),IF('User Input'!$B$42="46to60",IF((IFERROR(MATCH(Profiles!W26,{"None","Light","Medium","Heavy"},0)-1,0)+IFERROR(MATCH(Profiles!AB26,{"Low","Medium","High"},0)-1,0))&gt;=5,0.65,IF((IFERROR(MATCH(Profiles!W26,{"None","Light","Medium","Heavy"},0)-1,0)+IFERROR(MATCH(Profiles!AB26,{"Low","Medium","High"},0)-1,0))&gt;=4,0.8,IF((IFERROR(MATCH(Profiles!W26,{"None","Light","Medium","Heavy"},0)-1,0)+IFERROR(MATCH(Profiles!AB26,{"Low","Medium","High"},0)-1,0))&gt;=3,0.9,1))),IF((IFERROR(MATCH(Profiles!W26,{"None","Light","Medium","Heavy"},0)-1,0)+IFERROR(MATCH(Profiles!AB26,{"Low","Medium","High"},0)-1,0))&gt;=5,0.4,IF((IFERROR(MATCH(Profiles!W26,{"None","Light","Medium","Heavy"},0)-1,0)+IFERROR(MATCH(Profiles!AB26,{"Low","Medium","High"},0)-1,0))&gt;=4,0.6,IF((IFERROR(MATCH(Profiles!W26,{"None","Light","Medium","Heavy"},0)-1,0)+IFERROR(MATCH(Profiles!AB26,{"Low","Medium","High"},0)-1,0))&gt;=3,0.75,IF((IFERROR(MATCH(Profiles!W26,{"None","Light","Medium","Heavy"},0)-1,0)+IFERROR(MATCH(Profiles!AB26,{"Low","Medium","High"},0)-1,0))&gt;=2,0.85,1)))))))</f>
        <v/>
      </c>
      <c r="Z25" s="36">
        <f>IF(OR('User Input'!$B$43="none",'User Input'!$B$43=""),1,IF('User Input'!$B$43="minor",IF(IFERROR(MATCH(Profiles!W26,{"None","Light","Medium","Heavy"},0)-1,0)&gt;=3,0.7,IF(IFERROR(MATCH(Profiles!W26,{"None","Light","Medium","Heavy"},0)-1,0)&gt;=2,0.85,1)),IF('User Input'!$B$43="joint",IF(OR(IFERROR(MATCH(Profiles!W26,{"None","Light","Medium","Heavy"},0)-1,0)&gt;=3,IFERROR(MATCH(Profiles!AB26,{"Low","Medium","High"},0)-1,0)&gt;=2),0.5,IF(OR(IFERROR(MATCH(Profiles!W26,{"None","Light","Medium","Heavy"},0)-1,0)&gt;=2,IFERROR(MATCH(Profiles!AB26,{"Low","Medium","High"},0)-1,0)&gt;=1),0.75,1)),IF(OR(IFERROR(MATCH(Profiles!W26,{"None","Light","Medium","Heavy"},0)-1,0)&gt;=2,IFERROR(MATCH(Profiles!AB26,{"Low","Medium","High"},0)-1,0)&gt;=2),0.3,IF(OR(IFERROR(MATCH(Profiles!W26,{"None","Light","Medium","Heavy"},0)-1,0)&gt;=1,IFERROR(MATCH(Profiles!AB26,{"Low","Medium","High"},0)-1,0)&gt;=1),0.6,0.9)))))</f>
        <v/>
      </c>
    </row>
    <row r="26" ht="15" customHeight="1" s="37">
      <c r="A26" s="59">
        <f>Profiles!A27</f>
        <v/>
      </c>
      <c r="B26" s="59">
        <f>Profiles!B27</f>
        <v/>
      </c>
      <c r="C26" s="59">
        <f>Profiles!C27</f>
        <v/>
      </c>
      <c r="D26" s="59">
        <f>Profiles!D27</f>
        <v/>
      </c>
      <c r="E26" s="60">
        <f>IF(ISNUMBER(Profiles!E27),IF(ISNUMBER(Profiles!F27),MAX(0,1-(MAX(0,ABS('User Input'!$B$9-Profiles!E27)-Profiles!F27))/Profiles!F27/3),MAX(0,1-ABS('User Input'!$B$9-Profiles!E27)/(Profiles!E27*0.1)/3)),0.5)</f>
        <v/>
      </c>
      <c r="F26" s="60">
        <f>IF(ISNUMBER(Profiles!G27),IF(ISNUMBER(Profiles!H27),MAX(0,1-(MAX(0,ABS('User Input'!$B$10-Profiles!G27)-Profiles!H27))/Profiles!H27/3),MAX(0,1-ABS('User Input'!$B$10-Profiles!G27)/(Profiles!G27*0.15)/3)),0.5)</f>
        <v/>
      </c>
      <c r="G26" s="60">
        <f>IF(ISNUMBER(Profiles!J27),MAX(0,1-ABS('User Input'!$B$12-Profiles!J27)/5/3),0.5)</f>
        <v/>
      </c>
      <c r="H26" s="60">
        <f>IF(ISNUMBER(Profiles!K27),MAX(0,1-ABS('User Input'!$B$14-Profiles!K27)/0.03/3),"n/a")</f>
        <v/>
      </c>
      <c r="I26" s="61">
        <f>100*MAX(0,1-(MAX(0,Profiles!M27-'User Input'!$B$17)+0.5*MAX(0,'User Input'!$B$17-Profiles!M27)+MAX(0,Profiles!N27-'User Input'!$B$18)+0.5*MAX(0,'User Input'!$B$18-Profiles!N27)+MAX(0,Profiles!O27-'User Input'!$B$19)+0.5*MAX(0,'User Input'!$B$19-Profiles!O27)+MAX(0,Profiles!P27-'User Input'!$B$20)+0.5*MAX(0,'User Input'!$B$20-Profiles!P27)+MAX(0,Profiles!Q27-'User Input'!$B$21)+0.5*MAX(0,'User Input'!$B$21-Profiles!Q27)+MAX(0,Profiles!S27-'User Input'!$B$22)+0.5*MAX(0,'User Input'!$B$22-Profiles!S27)+MAX(0,Profiles!T27-'User Input'!$B$23)+0.5*MAX(0,'User Input'!$B$23-Profiles!T27)+MAX(0,Profiles!U27-'User Input'!$B$24)+0.5*MAX(0,'User Input'!$B$24-Profiles!U27))/40)</f>
        <v/>
      </c>
      <c r="J26" s="61">
        <f>ROUND(60*(E26+F26+G26+IFERROR(VALUE(H26),(E26+F26+G26)/3))/4 + 0.4*I26,1)</f>
        <v/>
      </c>
      <c r="K26" s="60">
        <f>IF(OR(AND('User Input'!$B$6="M",Profiles!$AG27="M"),AND('User Input'!$B$6="F",Profiles!$AG27="F")),1,0)</f>
        <v/>
      </c>
      <c r="L26" s="60">
        <f>IF('User Input'!$B$27="Either",(IF(Profiles!V27&gt;=4,1,0.3)+IF(OR(Profiles!V27&lt;=2,ISNUMBER(SEARCH("Individual",Profiles!D27))),1,0.3))/2,IF('User Input'!$B$27="Team",IF(Profiles!V27&gt;=4,1,0.3),IF(OR(Profiles!V27&lt;=2,ISNUMBER(SEARCH("Individual",Profiles!D27))),1,0.3)))</f>
        <v/>
      </c>
      <c r="M26" s="60">
        <f>IF(IFERROR(MATCH(Profiles!W27,{"None","Light","Medium","Heavy"},0)-1,0)&lt;=IFERROR(MATCH('User Input'!$B$28,{"None","Light","Medium","Heavy"},0)-1,3),1,MAX(0,1-0.4*(IFERROR(MATCH(Profiles!W27,{"None","Light","Medium","Heavy"},0)-1,0)-IFERROR(MATCH('User Input'!$B$28,{"None","Light","Medium","Heavy"},0)-1,3))))</f>
        <v/>
      </c>
      <c r="N26" s="60">
        <f>IF('User Input'!$B$29="neutral",1,IF('User Input'!$B$29="essential",IF(ISNUMBER(SEARCH("Outdoor",Profiles!X27)),1,0.3),IF('User Input'!$B$29="nice",IF(ISNUMBER(SEARCH("Outdoor",Profiles!X27)),1,0.65),IF('User Input'!$B$29="indoor",IF(ISNUMBER(SEARCH("Indoor",Profiles!X27)),1,0.4),1))))</f>
        <v/>
      </c>
      <c r="O26" s="60">
        <f>IF('User Input'!$B$30="Yes",1,IF(Profiles!Y27="Yes",0,1))</f>
        <v/>
      </c>
      <c r="P26" s="60">
        <f>IF(IFERROR(MATCH(Profiles!Z27,{"Low","Medium","High"},0),2)&lt;=IFERROR(MATCH('User Input'!$B$31,{"Low","Medium","High"},0),2),1,MAX(0,1-0.4*(IFERROR(MATCH(Profiles!Z27,{"Low","Medium","High"},0),2)-IFERROR(MATCH('User Input'!$B$31,{"Low","Medium","High"},0),2))))</f>
        <v/>
      </c>
      <c r="Q26" s="60">
        <f>IF('User Input'!$B$32="Yes",IF(ISNUMBER(Profiles!AC27),Profiles!AC27/10,0.5),1)</f>
        <v/>
      </c>
      <c r="R26" s="61">
        <f>IF(OR(K26=0,O26=0),0,ROUND(MIN(100,100*(K26*0.1+L26*0.2+M26*0.2+N26*0.1+P26*0.15+Q26*0.25)*W26*X26*Y26*Z26),1))</f>
        <v/>
      </c>
      <c r="S26" s="61">
        <f>IF(R26=0,0,ROUND(0.5*J26+0.5*R26,1))</f>
        <v/>
      </c>
      <c r="T26" s="36">
        <f>J26-ROW()/1000000</f>
        <v/>
      </c>
      <c r="U26" s="36">
        <f>R26-ROW()/1000000</f>
        <v/>
      </c>
      <c r="V26" s="36">
        <f>S26-ROW()/1000000</f>
        <v/>
      </c>
      <c r="W26" s="36">
        <f>IF(OR(AND(OR(Profiles!D27="Team field",Profiles!D27="Team field contact",Profiles!D27="Team field stick"),'User Input'!$B$34="Yes"),AND(OR(Profiles!D27="Team court",Profiles!D27="Team court contact"),'User Input'!$B$35="Yes"),AND(Profiles!D27="Individual racquet",'User Input'!$B$36="Yes"),AND(OR(Profiles!D27="Combat striking",Profiles!D27="Combat grappling",Profiles!D27="Combat mixed"),'User Input'!$B$37="Yes"),AND(OR(Profiles!D27="Team water contact",Profiles!D27="Individual water"),'User Input'!$B$38="Yes"),AND(OR(Profiles!D27="Endurance individual",Profiles!D27="Endurance individual / pair",Profiles!D27="Endurance individual / pursuit",Profiles!D27="Endurance team / pair",Profiles!D27="Endurance multi"),'User Input'!$B$39="Yes"),AND(OR(Profiles!D27="Strength individual",Profiles!D27="Power-throw individual"),'User Input'!$B$40="Yes"),AND(OR(Profiles!D27="Individual technical",Profiles!D27="Individual aesthetic",Profiles!D27="Team precision"),'User Input'!$B$41="Yes")),1.15,1)</f>
        <v/>
      </c>
      <c r="X26" s="36">
        <f>IF('User Input'!$B$33&lt;&gt;"none",1,IF(IFERROR(VALUE(TRIM(MID(SUBSTITUTE(SUBSTITUTE(Profiles!AA27,"–","-"),"-",REPT(" ",100)),100,100)))&lt;=14,FALSE),0.7,1))</f>
        <v/>
      </c>
      <c r="Y26" s="36">
        <f>IF(OR('User Input'!$B$42="under30",'User Input'!$B$42=""),1,IF('User Input'!$B$42="30to45",IF((IFERROR(MATCH(Profiles!W27,{"None","Light","Medium","Heavy"},0)-1,0)+IFERROR(MATCH(Profiles!AB27,{"Low","Medium","High"},0)-1,0))&gt;=5,0.85,1),IF('User Input'!$B$42="46to60",IF((IFERROR(MATCH(Profiles!W27,{"None","Light","Medium","Heavy"},0)-1,0)+IFERROR(MATCH(Profiles!AB27,{"Low","Medium","High"},0)-1,0))&gt;=5,0.65,IF((IFERROR(MATCH(Profiles!W27,{"None","Light","Medium","Heavy"},0)-1,0)+IFERROR(MATCH(Profiles!AB27,{"Low","Medium","High"},0)-1,0))&gt;=4,0.8,IF((IFERROR(MATCH(Profiles!W27,{"None","Light","Medium","Heavy"},0)-1,0)+IFERROR(MATCH(Profiles!AB27,{"Low","Medium","High"},0)-1,0))&gt;=3,0.9,1))),IF((IFERROR(MATCH(Profiles!W27,{"None","Light","Medium","Heavy"},0)-1,0)+IFERROR(MATCH(Profiles!AB27,{"Low","Medium","High"},0)-1,0))&gt;=5,0.4,IF((IFERROR(MATCH(Profiles!W27,{"None","Light","Medium","Heavy"},0)-1,0)+IFERROR(MATCH(Profiles!AB27,{"Low","Medium","High"},0)-1,0))&gt;=4,0.6,IF((IFERROR(MATCH(Profiles!W27,{"None","Light","Medium","Heavy"},0)-1,0)+IFERROR(MATCH(Profiles!AB27,{"Low","Medium","High"},0)-1,0))&gt;=3,0.75,IF((IFERROR(MATCH(Profiles!W27,{"None","Light","Medium","Heavy"},0)-1,0)+IFERROR(MATCH(Profiles!AB27,{"Low","Medium","High"},0)-1,0))&gt;=2,0.85,1)))))))</f>
        <v/>
      </c>
      <c r="Z26" s="36">
        <f>IF(OR('User Input'!$B$43="none",'User Input'!$B$43=""),1,IF('User Input'!$B$43="minor",IF(IFERROR(MATCH(Profiles!W27,{"None","Light","Medium","Heavy"},0)-1,0)&gt;=3,0.7,IF(IFERROR(MATCH(Profiles!W27,{"None","Light","Medium","Heavy"},0)-1,0)&gt;=2,0.85,1)),IF('User Input'!$B$43="joint",IF(OR(IFERROR(MATCH(Profiles!W27,{"None","Light","Medium","Heavy"},0)-1,0)&gt;=3,IFERROR(MATCH(Profiles!AB27,{"Low","Medium","High"},0)-1,0)&gt;=2),0.5,IF(OR(IFERROR(MATCH(Profiles!W27,{"None","Light","Medium","Heavy"},0)-1,0)&gt;=2,IFERROR(MATCH(Profiles!AB27,{"Low","Medium","High"},0)-1,0)&gt;=1),0.75,1)),IF(OR(IFERROR(MATCH(Profiles!W27,{"None","Light","Medium","Heavy"},0)-1,0)&gt;=2,IFERROR(MATCH(Profiles!AB27,{"Low","Medium","High"},0)-1,0)&gt;=2),0.3,IF(OR(IFERROR(MATCH(Profiles!W27,{"None","Light","Medium","Heavy"},0)-1,0)&gt;=1,IFERROR(MATCH(Profiles!AB27,{"Low","Medium","High"},0)-1,0)&gt;=1),0.6,0.9)))))</f>
        <v/>
      </c>
    </row>
    <row r="27" ht="15" customHeight="1" s="37">
      <c r="A27" s="59">
        <f>Profiles!A28</f>
        <v/>
      </c>
      <c r="B27" s="59">
        <f>Profiles!B28</f>
        <v/>
      </c>
      <c r="C27" s="59">
        <f>Profiles!C28</f>
        <v/>
      </c>
      <c r="D27" s="59">
        <f>Profiles!D28</f>
        <v/>
      </c>
      <c r="E27" s="60">
        <f>IF(ISNUMBER(Profiles!E28),IF(ISNUMBER(Profiles!F28),MAX(0,1-(MAX(0,ABS('User Input'!$B$9-Profiles!E28)-Profiles!F28))/Profiles!F28/3),MAX(0,1-ABS('User Input'!$B$9-Profiles!E28)/(Profiles!E28*0.1)/3)),0.5)</f>
        <v/>
      </c>
      <c r="F27" s="60">
        <f>IF(ISNUMBER(Profiles!G28),IF(ISNUMBER(Profiles!H28),MAX(0,1-(MAX(0,ABS('User Input'!$B$10-Profiles!G28)-Profiles!H28))/Profiles!H28/3),MAX(0,1-ABS('User Input'!$B$10-Profiles!G28)/(Profiles!G28*0.15)/3)),0.5)</f>
        <v/>
      </c>
      <c r="G27" s="60">
        <f>IF(ISNUMBER(Profiles!J28),MAX(0,1-ABS('User Input'!$B$12-Profiles!J28)/5/3),0.5)</f>
        <v/>
      </c>
      <c r="H27" s="60">
        <f>IF(ISNUMBER(Profiles!K28),MAX(0,1-ABS('User Input'!$B$14-Profiles!K28)/0.03/3),"n/a")</f>
        <v/>
      </c>
      <c r="I27" s="61">
        <f>100*MAX(0,1-(MAX(0,Profiles!M28-'User Input'!$B$17)+0.5*MAX(0,'User Input'!$B$17-Profiles!M28)+MAX(0,Profiles!N28-'User Input'!$B$18)+0.5*MAX(0,'User Input'!$B$18-Profiles!N28)+MAX(0,Profiles!O28-'User Input'!$B$19)+0.5*MAX(0,'User Input'!$B$19-Profiles!O28)+MAX(0,Profiles!P28-'User Input'!$B$20)+0.5*MAX(0,'User Input'!$B$20-Profiles!P28)+MAX(0,Profiles!Q28-'User Input'!$B$21)+0.5*MAX(0,'User Input'!$B$21-Profiles!Q28)+MAX(0,Profiles!S28-'User Input'!$B$22)+0.5*MAX(0,'User Input'!$B$22-Profiles!S28)+MAX(0,Profiles!T28-'User Input'!$B$23)+0.5*MAX(0,'User Input'!$B$23-Profiles!T28)+MAX(0,Profiles!U28-'User Input'!$B$24)+0.5*MAX(0,'User Input'!$B$24-Profiles!U28))/40)</f>
        <v/>
      </c>
      <c r="J27" s="61">
        <f>ROUND(60*(E27+F27+G27+IFERROR(VALUE(H27),(E27+F27+G27)/3))/4 + 0.4*I27,1)</f>
        <v/>
      </c>
      <c r="K27" s="60">
        <f>IF(OR(AND('User Input'!$B$6="M",Profiles!$AG28="M"),AND('User Input'!$B$6="F",Profiles!$AG28="F")),1,0)</f>
        <v/>
      </c>
      <c r="L27" s="60">
        <f>IF('User Input'!$B$27="Either",(IF(Profiles!V28&gt;=4,1,0.3)+IF(OR(Profiles!V28&lt;=2,ISNUMBER(SEARCH("Individual",Profiles!D28))),1,0.3))/2,IF('User Input'!$B$27="Team",IF(Profiles!V28&gt;=4,1,0.3),IF(OR(Profiles!V28&lt;=2,ISNUMBER(SEARCH("Individual",Profiles!D28))),1,0.3)))</f>
        <v/>
      </c>
      <c r="M27" s="60">
        <f>IF(IFERROR(MATCH(Profiles!W28,{"None","Light","Medium","Heavy"},0)-1,0)&lt;=IFERROR(MATCH('User Input'!$B$28,{"None","Light","Medium","Heavy"},0)-1,3),1,MAX(0,1-0.4*(IFERROR(MATCH(Profiles!W28,{"None","Light","Medium","Heavy"},0)-1,0)-IFERROR(MATCH('User Input'!$B$28,{"None","Light","Medium","Heavy"},0)-1,3))))</f>
        <v/>
      </c>
      <c r="N27" s="60">
        <f>IF('User Input'!$B$29="neutral",1,IF('User Input'!$B$29="essential",IF(ISNUMBER(SEARCH("Outdoor",Profiles!X28)),1,0.3),IF('User Input'!$B$29="nice",IF(ISNUMBER(SEARCH("Outdoor",Profiles!X28)),1,0.65),IF('User Input'!$B$29="indoor",IF(ISNUMBER(SEARCH("Indoor",Profiles!X28)),1,0.4),1))))</f>
        <v/>
      </c>
      <c r="O27" s="60">
        <f>IF('User Input'!$B$30="Yes",1,IF(Profiles!Y28="Yes",0,1))</f>
        <v/>
      </c>
      <c r="P27" s="60">
        <f>IF(IFERROR(MATCH(Profiles!Z28,{"Low","Medium","High"},0),2)&lt;=IFERROR(MATCH('User Input'!$B$31,{"Low","Medium","High"},0),2),1,MAX(0,1-0.4*(IFERROR(MATCH(Profiles!Z28,{"Low","Medium","High"},0),2)-IFERROR(MATCH('User Input'!$B$31,{"Low","Medium","High"},0),2))))</f>
        <v/>
      </c>
      <c r="Q27" s="60">
        <f>IF('User Input'!$B$32="Yes",IF(ISNUMBER(Profiles!AC28),Profiles!AC28/10,0.5),1)</f>
        <v/>
      </c>
      <c r="R27" s="61">
        <f>IF(OR(K27=0,O27=0),0,ROUND(MIN(100,100*(K27*0.1+L27*0.2+M27*0.2+N27*0.1+P27*0.15+Q27*0.25)*W27*X27*Y27*Z27),1))</f>
        <v/>
      </c>
      <c r="S27" s="61">
        <f>IF(R27=0,0,ROUND(0.5*J27+0.5*R27,1))</f>
        <v/>
      </c>
      <c r="T27" s="36">
        <f>J27-ROW()/1000000</f>
        <v/>
      </c>
      <c r="U27" s="36">
        <f>R27-ROW()/1000000</f>
        <v/>
      </c>
      <c r="V27" s="36">
        <f>S27-ROW()/1000000</f>
        <v/>
      </c>
      <c r="W27" s="36">
        <f>IF(OR(AND(OR(Profiles!D28="Team field",Profiles!D28="Team field contact",Profiles!D28="Team field stick"),'User Input'!$B$34="Yes"),AND(OR(Profiles!D28="Team court",Profiles!D28="Team court contact"),'User Input'!$B$35="Yes"),AND(Profiles!D28="Individual racquet",'User Input'!$B$36="Yes"),AND(OR(Profiles!D28="Combat striking",Profiles!D28="Combat grappling",Profiles!D28="Combat mixed"),'User Input'!$B$37="Yes"),AND(OR(Profiles!D28="Team water contact",Profiles!D28="Individual water"),'User Input'!$B$38="Yes"),AND(OR(Profiles!D28="Endurance individual",Profiles!D28="Endurance individual / pair",Profiles!D28="Endurance individual / pursuit",Profiles!D28="Endurance team / pair",Profiles!D28="Endurance multi"),'User Input'!$B$39="Yes"),AND(OR(Profiles!D28="Strength individual",Profiles!D28="Power-throw individual"),'User Input'!$B$40="Yes"),AND(OR(Profiles!D28="Individual technical",Profiles!D28="Individual aesthetic",Profiles!D28="Team precision"),'User Input'!$B$41="Yes")),1.15,1)</f>
        <v/>
      </c>
      <c r="X27" s="36">
        <f>IF('User Input'!$B$33&lt;&gt;"none",1,IF(IFERROR(VALUE(TRIM(MID(SUBSTITUTE(SUBSTITUTE(Profiles!AA28,"–","-"),"-",REPT(" ",100)),100,100)))&lt;=14,FALSE),0.7,1))</f>
        <v/>
      </c>
      <c r="Y27" s="36">
        <f>IF(OR('User Input'!$B$42="under30",'User Input'!$B$42=""),1,IF('User Input'!$B$42="30to45",IF((IFERROR(MATCH(Profiles!W28,{"None","Light","Medium","Heavy"},0)-1,0)+IFERROR(MATCH(Profiles!AB28,{"Low","Medium","High"},0)-1,0))&gt;=5,0.85,1),IF('User Input'!$B$42="46to60",IF((IFERROR(MATCH(Profiles!W28,{"None","Light","Medium","Heavy"},0)-1,0)+IFERROR(MATCH(Profiles!AB28,{"Low","Medium","High"},0)-1,0))&gt;=5,0.65,IF((IFERROR(MATCH(Profiles!W28,{"None","Light","Medium","Heavy"},0)-1,0)+IFERROR(MATCH(Profiles!AB28,{"Low","Medium","High"},0)-1,0))&gt;=4,0.8,IF((IFERROR(MATCH(Profiles!W28,{"None","Light","Medium","Heavy"},0)-1,0)+IFERROR(MATCH(Profiles!AB28,{"Low","Medium","High"},0)-1,0))&gt;=3,0.9,1))),IF((IFERROR(MATCH(Profiles!W28,{"None","Light","Medium","Heavy"},0)-1,0)+IFERROR(MATCH(Profiles!AB28,{"Low","Medium","High"},0)-1,0))&gt;=5,0.4,IF((IFERROR(MATCH(Profiles!W28,{"None","Light","Medium","Heavy"},0)-1,0)+IFERROR(MATCH(Profiles!AB28,{"Low","Medium","High"},0)-1,0))&gt;=4,0.6,IF((IFERROR(MATCH(Profiles!W28,{"None","Light","Medium","Heavy"},0)-1,0)+IFERROR(MATCH(Profiles!AB28,{"Low","Medium","High"},0)-1,0))&gt;=3,0.75,IF((IFERROR(MATCH(Profiles!W28,{"None","Light","Medium","Heavy"},0)-1,0)+IFERROR(MATCH(Profiles!AB28,{"Low","Medium","High"},0)-1,0))&gt;=2,0.85,1)))))))</f>
        <v/>
      </c>
      <c r="Z27" s="36">
        <f>IF(OR('User Input'!$B$43="none",'User Input'!$B$43=""),1,IF('User Input'!$B$43="minor",IF(IFERROR(MATCH(Profiles!W28,{"None","Light","Medium","Heavy"},0)-1,0)&gt;=3,0.7,IF(IFERROR(MATCH(Profiles!W28,{"None","Light","Medium","Heavy"},0)-1,0)&gt;=2,0.85,1)),IF('User Input'!$B$43="joint",IF(OR(IFERROR(MATCH(Profiles!W28,{"None","Light","Medium","Heavy"},0)-1,0)&gt;=3,IFERROR(MATCH(Profiles!AB28,{"Low","Medium","High"},0)-1,0)&gt;=2),0.5,IF(OR(IFERROR(MATCH(Profiles!W28,{"None","Light","Medium","Heavy"},0)-1,0)&gt;=2,IFERROR(MATCH(Profiles!AB28,{"Low","Medium","High"},0)-1,0)&gt;=1),0.75,1)),IF(OR(IFERROR(MATCH(Profiles!W28,{"None","Light","Medium","Heavy"},0)-1,0)&gt;=2,IFERROR(MATCH(Profiles!AB28,{"Low","Medium","High"},0)-1,0)&gt;=2),0.3,IF(OR(IFERROR(MATCH(Profiles!W28,{"None","Light","Medium","Heavy"},0)-1,0)&gt;=1,IFERROR(MATCH(Profiles!AB28,{"Low","Medium","High"},0)-1,0)&gt;=1),0.6,0.9)))))</f>
        <v/>
      </c>
    </row>
    <row r="28" ht="15" customHeight="1" s="37">
      <c r="A28" s="59">
        <f>Profiles!A29</f>
        <v/>
      </c>
      <c r="B28" s="59">
        <f>Profiles!B29</f>
        <v/>
      </c>
      <c r="C28" s="59">
        <f>Profiles!C29</f>
        <v/>
      </c>
      <c r="D28" s="59">
        <f>Profiles!D29</f>
        <v/>
      </c>
      <c r="E28" s="60">
        <f>IF(ISNUMBER(Profiles!E29),IF(ISNUMBER(Profiles!F29),MAX(0,1-(MAX(0,ABS('User Input'!$B$9-Profiles!E29)-Profiles!F29))/Profiles!F29/3),MAX(0,1-ABS('User Input'!$B$9-Profiles!E29)/(Profiles!E29*0.1)/3)),0.5)</f>
        <v/>
      </c>
      <c r="F28" s="60">
        <f>IF(ISNUMBER(Profiles!G29),IF(ISNUMBER(Profiles!H29),MAX(0,1-(MAX(0,ABS('User Input'!$B$10-Profiles!G29)-Profiles!H29))/Profiles!H29/3),MAX(0,1-ABS('User Input'!$B$10-Profiles!G29)/(Profiles!G29*0.15)/3)),0.5)</f>
        <v/>
      </c>
      <c r="G28" s="60">
        <f>IF(ISNUMBER(Profiles!J29),MAX(0,1-ABS('User Input'!$B$12-Profiles!J29)/5/3),0.5)</f>
        <v/>
      </c>
      <c r="H28" s="60">
        <f>IF(ISNUMBER(Profiles!K29),MAX(0,1-ABS('User Input'!$B$14-Profiles!K29)/0.03/3),"n/a")</f>
        <v/>
      </c>
      <c r="I28" s="61">
        <f>100*MAX(0,1-(MAX(0,Profiles!M29-'User Input'!$B$17)+0.5*MAX(0,'User Input'!$B$17-Profiles!M29)+MAX(0,Profiles!N29-'User Input'!$B$18)+0.5*MAX(0,'User Input'!$B$18-Profiles!N29)+MAX(0,Profiles!O29-'User Input'!$B$19)+0.5*MAX(0,'User Input'!$B$19-Profiles!O29)+MAX(0,Profiles!P29-'User Input'!$B$20)+0.5*MAX(0,'User Input'!$B$20-Profiles!P29)+MAX(0,Profiles!Q29-'User Input'!$B$21)+0.5*MAX(0,'User Input'!$B$21-Profiles!Q29)+MAX(0,Profiles!S29-'User Input'!$B$22)+0.5*MAX(0,'User Input'!$B$22-Profiles!S29)+MAX(0,Profiles!T29-'User Input'!$B$23)+0.5*MAX(0,'User Input'!$B$23-Profiles!T29)+MAX(0,Profiles!U29-'User Input'!$B$24)+0.5*MAX(0,'User Input'!$B$24-Profiles!U29))/40)</f>
        <v/>
      </c>
      <c r="J28" s="61">
        <f>ROUND(60*(E28+F28+G28+IFERROR(VALUE(H28),(E28+F28+G28)/3))/4 + 0.4*I28,1)</f>
        <v/>
      </c>
      <c r="K28" s="60">
        <f>IF(OR(AND('User Input'!$B$6="M",Profiles!$AG29="M"),AND('User Input'!$B$6="F",Profiles!$AG29="F")),1,0)</f>
        <v/>
      </c>
      <c r="L28" s="60">
        <f>IF('User Input'!$B$27="Either",(IF(Profiles!V29&gt;=4,1,0.3)+IF(OR(Profiles!V29&lt;=2,ISNUMBER(SEARCH("Individual",Profiles!D29))),1,0.3))/2,IF('User Input'!$B$27="Team",IF(Profiles!V29&gt;=4,1,0.3),IF(OR(Profiles!V29&lt;=2,ISNUMBER(SEARCH("Individual",Profiles!D29))),1,0.3)))</f>
        <v/>
      </c>
      <c r="M28" s="60">
        <f>IF(IFERROR(MATCH(Profiles!W29,{"None","Light","Medium","Heavy"},0)-1,0)&lt;=IFERROR(MATCH('User Input'!$B$28,{"None","Light","Medium","Heavy"},0)-1,3),1,MAX(0,1-0.4*(IFERROR(MATCH(Profiles!W29,{"None","Light","Medium","Heavy"},0)-1,0)-IFERROR(MATCH('User Input'!$B$28,{"None","Light","Medium","Heavy"},0)-1,3))))</f>
        <v/>
      </c>
      <c r="N28" s="60">
        <f>IF('User Input'!$B$29="neutral",1,IF('User Input'!$B$29="essential",IF(ISNUMBER(SEARCH("Outdoor",Profiles!X29)),1,0.3),IF('User Input'!$B$29="nice",IF(ISNUMBER(SEARCH("Outdoor",Profiles!X29)),1,0.65),IF('User Input'!$B$29="indoor",IF(ISNUMBER(SEARCH("Indoor",Profiles!X29)),1,0.4),1))))</f>
        <v/>
      </c>
      <c r="O28" s="60">
        <f>IF('User Input'!$B$30="Yes",1,IF(Profiles!Y29="Yes",0,1))</f>
        <v/>
      </c>
      <c r="P28" s="60">
        <f>IF(IFERROR(MATCH(Profiles!Z29,{"Low","Medium","High"},0),2)&lt;=IFERROR(MATCH('User Input'!$B$31,{"Low","Medium","High"},0),2),1,MAX(0,1-0.4*(IFERROR(MATCH(Profiles!Z29,{"Low","Medium","High"},0),2)-IFERROR(MATCH('User Input'!$B$31,{"Low","Medium","High"},0),2))))</f>
        <v/>
      </c>
      <c r="Q28" s="60">
        <f>IF('User Input'!$B$32="Yes",IF(ISNUMBER(Profiles!AC29),Profiles!AC29/10,0.5),1)</f>
        <v/>
      </c>
      <c r="R28" s="61">
        <f>IF(OR(K28=0,O28=0),0,ROUND(MIN(100,100*(K28*0.1+L28*0.2+M28*0.2+N28*0.1+P28*0.15+Q28*0.25)*W28*X28*Y28*Z28),1))</f>
        <v/>
      </c>
      <c r="S28" s="61">
        <f>IF(R28=0,0,ROUND(0.5*J28+0.5*R28,1))</f>
        <v/>
      </c>
      <c r="T28" s="36">
        <f>J28-ROW()/1000000</f>
        <v/>
      </c>
      <c r="U28" s="36">
        <f>R28-ROW()/1000000</f>
        <v/>
      </c>
      <c r="V28" s="36">
        <f>S28-ROW()/1000000</f>
        <v/>
      </c>
      <c r="W28" s="36">
        <f>IF(OR(AND(OR(Profiles!D29="Team field",Profiles!D29="Team field contact",Profiles!D29="Team field stick"),'User Input'!$B$34="Yes"),AND(OR(Profiles!D29="Team court",Profiles!D29="Team court contact"),'User Input'!$B$35="Yes"),AND(Profiles!D29="Individual racquet",'User Input'!$B$36="Yes"),AND(OR(Profiles!D29="Combat striking",Profiles!D29="Combat grappling",Profiles!D29="Combat mixed"),'User Input'!$B$37="Yes"),AND(OR(Profiles!D29="Team water contact",Profiles!D29="Individual water"),'User Input'!$B$38="Yes"),AND(OR(Profiles!D29="Endurance individual",Profiles!D29="Endurance individual / pair",Profiles!D29="Endurance individual / pursuit",Profiles!D29="Endurance team / pair",Profiles!D29="Endurance multi"),'User Input'!$B$39="Yes"),AND(OR(Profiles!D29="Strength individual",Profiles!D29="Power-throw individual"),'User Input'!$B$40="Yes"),AND(OR(Profiles!D29="Individual technical",Profiles!D29="Individual aesthetic",Profiles!D29="Team precision"),'User Input'!$B$41="Yes")),1.15,1)</f>
        <v/>
      </c>
      <c r="X28" s="36">
        <f>IF('User Input'!$B$33&lt;&gt;"none",1,IF(IFERROR(VALUE(TRIM(MID(SUBSTITUTE(SUBSTITUTE(Profiles!AA29,"–","-"),"-",REPT(" ",100)),100,100)))&lt;=14,FALSE),0.7,1))</f>
        <v/>
      </c>
      <c r="Y28" s="36">
        <f>IF(OR('User Input'!$B$42="under30",'User Input'!$B$42=""),1,IF('User Input'!$B$42="30to45",IF((IFERROR(MATCH(Profiles!W29,{"None","Light","Medium","Heavy"},0)-1,0)+IFERROR(MATCH(Profiles!AB29,{"Low","Medium","High"},0)-1,0))&gt;=5,0.85,1),IF('User Input'!$B$42="46to60",IF((IFERROR(MATCH(Profiles!W29,{"None","Light","Medium","Heavy"},0)-1,0)+IFERROR(MATCH(Profiles!AB29,{"Low","Medium","High"},0)-1,0))&gt;=5,0.65,IF((IFERROR(MATCH(Profiles!W29,{"None","Light","Medium","Heavy"},0)-1,0)+IFERROR(MATCH(Profiles!AB29,{"Low","Medium","High"},0)-1,0))&gt;=4,0.8,IF((IFERROR(MATCH(Profiles!W29,{"None","Light","Medium","Heavy"},0)-1,0)+IFERROR(MATCH(Profiles!AB29,{"Low","Medium","High"},0)-1,0))&gt;=3,0.9,1))),IF((IFERROR(MATCH(Profiles!W29,{"None","Light","Medium","Heavy"},0)-1,0)+IFERROR(MATCH(Profiles!AB29,{"Low","Medium","High"},0)-1,0))&gt;=5,0.4,IF((IFERROR(MATCH(Profiles!W29,{"None","Light","Medium","Heavy"},0)-1,0)+IFERROR(MATCH(Profiles!AB29,{"Low","Medium","High"},0)-1,0))&gt;=4,0.6,IF((IFERROR(MATCH(Profiles!W29,{"None","Light","Medium","Heavy"},0)-1,0)+IFERROR(MATCH(Profiles!AB29,{"Low","Medium","High"},0)-1,0))&gt;=3,0.75,IF((IFERROR(MATCH(Profiles!W29,{"None","Light","Medium","Heavy"},0)-1,0)+IFERROR(MATCH(Profiles!AB29,{"Low","Medium","High"},0)-1,0))&gt;=2,0.85,1)))))))</f>
        <v/>
      </c>
      <c r="Z28" s="36">
        <f>IF(OR('User Input'!$B$43="none",'User Input'!$B$43=""),1,IF('User Input'!$B$43="minor",IF(IFERROR(MATCH(Profiles!W29,{"None","Light","Medium","Heavy"},0)-1,0)&gt;=3,0.7,IF(IFERROR(MATCH(Profiles!W29,{"None","Light","Medium","Heavy"},0)-1,0)&gt;=2,0.85,1)),IF('User Input'!$B$43="joint",IF(OR(IFERROR(MATCH(Profiles!W29,{"None","Light","Medium","Heavy"},0)-1,0)&gt;=3,IFERROR(MATCH(Profiles!AB29,{"Low","Medium","High"},0)-1,0)&gt;=2),0.5,IF(OR(IFERROR(MATCH(Profiles!W29,{"None","Light","Medium","Heavy"},0)-1,0)&gt;=2,IFERROR(MATCH(Profiles!AB29,{"Low","Medium","High"},0)-1,0)&gt;=1),0.75,1)),IF(OR(IFERROR(MATCH(Profiles!W29,{"None","Light","Medium","Heavy"},0)-1,0)&gt;=2,IFERROR(MATCH(Profiles!AB29,{"Low","Medium","High"},0)-1,0)&gt;=2),0.3,IF(OR(IFERROR(MATCH(Profiles!W29,{"None","Light","Medium","Heavy"},0)-1,0)&gt;=1,IFERROR(MATCH(Profiles!AB29,{"Low","Medium","High"},0)-1,0)&gt;=1),0.6,0.9)))))</f>
        <v/>
      </c>
    </row>
    <row r="29" ht="15" customHeight="1" s="37">
      <c r="A29" s="59">
        <f>Profiles!A30</f>
        <v/>
      </c>
      <c r="B29" s="59">
        <f>Profiles!B30</f>
        <v/>
      </c>
      <c r="C29" s="59">
        <f>Profiles!C30</f>
        <v/>
      </c>
      <c r="D29" s="59">
        <f>Profiles!D30</f>
        <v/>
      </c>
      <c r="E29" s="60">
        <f>IF(ISNUMBER(Profiles!E30),IF(ISNUMBER(Profiles!F30),MAX(0,1-(MAX(0,ABS('User Input'!$B$9-Profiles!E30)-Profiles!F30))/Profiles!F30/3),MAX(0,1-ABS('User Input'!$B$9-Profiles!E30)/(Profiles!E30*0.1)/3)),0.5)</f>
        <v/>
      </c>
      <c r="F29" s="60">
        <f>IF(ISNUMBER(Profiles!G30),IF(ISNUMBER(Profiles!H30),MAX(0,1-(MAX(0,ABS('User Input'!$B$10-Profiles!G30)-Profiles!H30))/Profiles!H30/3),MAX(0,1-ABS('User Input'!$B$10-Profiles!G30)/(Profiles!G30*0.15)/3)),0.5)</f>
        <v/>
      </c>
      <c r="G29" s="60">
        <f>IF(ISNUMBER(Profiles!J30),MAX(0,1-ABS('User Input'!$B$12-Profiles!J30)/5/3),0.5)</f>
        <v/>
      </c>
      <c r="H29" s="60">
        <f>IF(ISNUMBER(Profiles!K30),MAX(0,1-ABS('User Input'!$B$14-Profiles!K30)/0.03/3),"n/a")</f>
        <v/>
      </c>
      <c r="I29" s="61">
        <f>100*MAX(0,1-(MAX(0,Profiles!M30-'User Input'!$B$17)+0.5*MAX(0,'User Input'!$B$17-Profiles!M30)+MAX(0,Profiles!N30-'User Input'!$B$18)+0.5*MAX(0,'User Input'!$B$18-Profiles!N30)+MAX(0,Profiles!O30-'User Input'!$B$19)+0.5*MAX(0,'User Input'!$B$19-Profiles!O30)+MAX(0,Profiles!P30-'User Input'!$B$20)+0.5*MAX(0,'User Input'!$B$20-Profiles!P30)+MAX(0,Profiles!Q30-'User Input'!$B$21)+0.5*MAX(0,'User Input'!$B$21-Profiles!Q30)+MAX(0,Profiles!S30-'User Input'!$B$22)+0.5*MAX(0,'User Input'!$B$22-Profiles!S30)+MAX(0,Profiles!T30-'User Input'!$B$23)+0.5*MAX(0,'User Input'!$B$23-Profiles!T30)+MAX(0,Profiles!U30-'User Input'!$B$24)+0.5*MAX(0,'User Input'!$B$24-Profiles!U30))/40)</f>
        <v/>
      </c>
      <c r="J29" s="61">
        <f>ROUND(60*(E29+F29+G29+IFERROR(VALUE(H29),(E29+F29+G29)/3))/4 + 0.4*I29,1)</f>
        <v/>
      </c>
      <c r="K29" s="60">
        <f>IF(OR(AND('User Input'!$B$6="M",Profiles!$AG30="M"),AND('User Input'!$B$6="F",Profiles!$AG30="F")),1,0)</f>
        <v/>
      </c>
      <c r="L29" s="60">
        <f>IF('User Input'!$B$27="Either",(IF(Profiles!V30&gt;=4,1,0.3)+IF(OR(Profiles!V30&lt;=2,ISNUMBER(SEARCH("Individual",Profiles!D30))),1,0.3))/2,IF('User Input'!$B$27="Team",IF(Profiles!V30&gt;=4,1,0.3),IF(OR(Profiles!V30&lt;=2,ISNUMBER(SEARCH("Individual",Profiles!D30))),1,0.3)))</f>
        <v/>
      </c>
      <c r="M29" s="60">
        <f>IF(IFERROR(MATCH(Profiles!W30,{"None","Light","Medium","Heavy"},0)-1,0)&lt;=IFERROR(MATCH('User Input'!$B$28,{"None","Light","Medium","Heavy"},0)-1,3),1,MAX(0,1-0.4*(IFERROR(MATCH(Profiles!W30,{"None","Light","Medium","Heavy"},0)-1,0)-IFERROR(MATCH('User Input'!$B$28,{"None","Light","Medium","Heavy"},0)-1,3))))</f>
        <v/>
      </c>
      <c r="N29" s="60">
        <f>IF('User Input'!$B$29="neutral",1,IF('User Input'!$B$29="essential",IF(ISNUMBER(SEARCH("Outdoor",Profiles!X30)),1,0.3),IF('User Input'!$B$29="nice",IF(ISNUMBER(SEARCH("Outdoor",Profiles!X30)),1,0.65),IF('User Input'!$B$29="indoor",IF(ISNUMBER(SEARCH("Indoor",Profiles!X30)),1,0.4),1))))</f>
        <v/>
      </c>
      <c r="O29" s="60">
        <f>IF('User Input'!$B$30="Yes",1,IF(Profiles!Y30="Yes",0,1))</f>
        <v/>
      </c>
      <c r="P29" s="60">
        <f>IF(IFERROR(MATCH(Profiles!Z30,{"Low","Medium","High"},0),2)&lt;=IFERROR(MATCH('User Input'!$B$31,{"Low","Medium","High"},0),2),1,MAX(0,1-0.4*(IFERROR(MATCH(Profiles!Z30,{"Low","Medium","High"},0),2)-IFERROR(MATCH('User Input'!$B$31,{"Low","Medium","High"},0),2))))</f>
        <v/>
      </c>
      <c r="Q29" s="60">
        <f>IF('User Input'!$B$32="Yes",IF(ISNUMBER(Profiles!AC30),Profiles!AC30/10,0.5),1)</f>
        <v/>
      </c>
      <c r="R29" s="61">
        <f>IF(OR(K29=0,O29=0),0,ROUND(MIN(100,100*(K29*0.1+L29*0.2+M29*0.2+N29*0.1+P29*0.15+Q29*0.25)*W29*X29*Y29*Z29),1))</f>
        <v/>
      </c>
      <c r="S29" s="61">
        <f>IF(R29=0,0,ROUND(0.5*J29+0.5*R29,1))</f>
        <v/>
      </c>
      <c r="T29" s="36">
        <f>J29-ROW()/1000000</f>
        <v/>
      </c>
      <c r="U29" s="36">
        <f>R29-ROW()/1000000</f>
        <v/>
      </c>
      <c r="V29" s="36">
        <f>S29-ROW()/1000000</f>
        <v/>
      </c>
      <c r="W29" s="36">
        <f>IF(OR(AND(OR(Profiles!D30="Team field",Profiles!D30="Team field contact",Profiles!D30="Team field stick"),'User Input'!$B$34="Yes"),AND(OR(Profiles!D30="Team court",Profiles!D30="Team court contact"),'User Input'!$B$35="Yes"),AND(Profiles!D30="Individual racquet",'User Input'!$B$36="Yes"),AND(OR(Profiles!D30="Combat striking",Profiles!D30="Combat grappling",Profiles!D30="Combat mixed"),'User Input'!$B$37="Yes"),AND(OR(Profiles!D30="Team water contact",Profiles!D30="Individual water"),'User Input'!$B$38="Yes"),AND(OR(Profiles!D30="Endurance individual",Profiles!D30="Endurance individual / pair",Profiles!D30="Endurance individual / pursuit",Profiles!D30="Endurance team / pair",Profiles!D30="Endurance multi"),'User Input'!$B$39="Yes"),AND(OR(Profiles!D30="Strength individual",Profiles!D30="Power-throw individual"),'User Input'!$B$40="Yes"),AND(OR(Profiles!D30="Individual technical",Profiles!D30="Individual aesthetic",Profiles!D30="Team precision"),'User Input'!$B$41="Yes")),1.15,1)</f>
        <v/>
      </c>
      <c r="X29" s="36">
        <f>IF('User Input'!$B$33&lt;&gt;"none",1,IF(IFERROR(VALUE(TRIM(MID(SUBSTITUTE(SUBSTITUTE(Profiles!AA30,"–","-"),"-",REPT(" ",100)),100,100)))&lt;=14,FALSE),0.7,1))</f>
        <v/>
      </c>
      <c r="Y29" s="36">
        <f>IF(OR('User Input'!$B$42="under30",'User Input'!$B$42=""),1,IF('User Input'!$B$42="30to45",IF((IFERROR(MATCH(Profiles!W30,{"None","Light","Medium","Heavy"},0)-1,0)+IFERROR(MATCH(Profiles!AB30,{"Low","Medium","High"},0)-1,0))&gt;=5,0.85,1),IF('User Input'!$B$42="46to60",IF((IFERROR(MATCH(Profiles!W30,{"None","Light","Medium","Heavy"},0)-1,0)+IFERROR(MATCH(Profiles!AB30,{"Low","Medium","High"},0)-1,0))&gt;=5,0.65,IF((IFERROR(MATCH(Profiles!W30,{"None","Light","Medium","Heavy"},0)-1,0)+IFERROR(MATCH(Profiles!AB30,{"Low","Medium","High"},0)-1,0))&gt;=4,0.8,IF((IFERROR(MATCH(Profiles!W30,{"None","Light","Medium","Heavy"},0)-1,0)+IFERROR(MATCH(Profiles!AB30,{"Low","Medium","High"},0)-1,0))&gt;=3,0.9,1))),IF((IFERROR(MATCH(Profiles!W30,{"None","Light","Medium","Heavy"},0)-1,0)+IFERROR(MATCH(Profiles!AB30,{"Low","Medium","High"},0)-1,0))&gt;=5,0.4,IF((IFERROR(MATCH(Profiles!W30,{"None","Light","Medium","Heavy"},0)-1,0)+IFERROR(MATCH(Profiles!AB30,{"Low","Medium","High"},0)-1,0))&gt;=4,0.6,IF((IFERROR(MATCH(Profiles!W30,{"None","Light","Medium","Heavy"},0)-1,0)+IFERROR(MATCH(Profiles!AB30,{"Low","Medium","High"},0)-1,0))&gt;=3,0.75,IF((IFERROR(MATCH(Profiles!W30,{"None","Light","Medium","Heavy"},0)-1,0)+IFERROR(MATCH(Profiles!AB30,{"Low","Medium","High"},0)-1,0))&gt;=2,0.85,1)))))))</f>
        <v/>
      </c>
      <c r="Z29" s="36">
        <f>IF(OR('User Input'!$B$43="none",'User Input'!$B$43=""),1,IF('User Input'!$B$43="minor",IF(IFERROR(MATCH(Profiles!W30,{"None","Light","Medium","Heavy"},0)-1,0)&gt;=3,0.7,IF(IFERROR(MATCH(Profiles!W30,{"None","Light","Medium","Heavy"},0)-1,0)&gt;=2,0.85,1)),IF('User Input'!$B$43="joint",IF(OR(IFERROR(MATCH(Profiles!W30,{"None","Light","Medium","Heavy"},0)-1,0)&gt;=3,IFERROR(MATCH(Profiles!AB30,{"Low","Medium","High"},0)-1,0)&gt;=2),0.5,IF(OR(IFERROR(MATCH(Profiles!W30,{"None","Light","Medium","Heavy"},0)-1,0)&gt;=2,IFERROR(MATCH(Profiles!AB30,{"Low","Medium","High"},0)-1,0)&gt;=1),0.75,1)),IF(OR(IFERROR(MATCH(Profiles!W30,{"None","Light","Medium","Heavy"},0)-1,0)&gt;=2,IFERROR(MATCH(Profiles!AB30,{"Low","Medium","High"},0)-1,0)&gt;=2),0.3,IF(OR(IFERROR(MATCH(Profiles!W30,{"None","Light","Medium","Heavy"},0)-1,0)&gt;=1,IFERROR(MATCH(Profiles!AB30,{"Low","Medium","High"},0)-1,0)&gt;=1),0.6,0.9)))))</f>
        <v/>
      </c>
    </row>
    <row r="30" ht="15" customHeight="1" s="37">
      <c r="A30" s="59">
        <f>Profiles!A31</f>
        <v/>
      </c>
      <c r="B30" s="59">
        <f>Profiles!B31</f>
        <v/>
      </c>
      <c r="C30" s="59">
        <f>Profiles!C31</f>
        <v/>
      </c>
      <c r="D30" s="59">
        <f>Profiles!D31</f>
        <v/>
      </c>
      <c r="E30" s="60">
        <f>IF(ISNUMBER(Profiles!E31),IF(ISNUMBER(Profiles!F31),MAX(0,1-(MAX(0,ABS('User Input'!$B$9-Profiles!E31)-Profiles!F31))/Profiles!F31/3),MAX(0,1-ABS('User Input'!$B$9-Profiles!E31)/(Profiles!E31*0.1)/3)),0.5)</f>
        <v/>
      </c>
      <c r="F30" s="60">
        <f>IF(ISNUMBER(Profiles!G31),IF(ISNUMBER(Profiles!H31),MAX(0,1-(MAX(0,ABS('User Input'!$B$10-Profiles!G31)-Profiles!H31))/Profiles!H31/3),MAX(0,1-ABS('User Input'!$B$10-Profiles!G31)/(Profiles!G31*0.15)/3)),0.5)</f>
        <v/>
      </c>
      <c r="G30" s="60">
        <f>IF(ISNUMBER(Profiles!J31),MAX(0,1-ABS('User Input'!$B$12-Profiles!J31)/5/3),0.5)</f>
        <v/>
      </c>
      <c r="H30" s="60">
        <f>IF(ISNUMBER(Profiles!K31),MAX(0,1-ABS('User Input'!$B$14-Profiles!K31)/0.03/3),"n/a")</f>
        <v/>
      </c>
      <c r="I30" s="61">
        <f>100*MAX(0,1-(MAX(0,Profiles!M31-'User Input'!$B$17)+0.5*MAX(0,'User Input'!$B$17-Profiles!M31)+MAX(0,Profiles!N31-'User Input'!$B$18)+0.5*MAX(0,'User Input'!$B$18-Profiles!N31)+MAX(0,Profiles!O31-'User Input'!$B$19)+0.5*MAX(0,'User Input'!$B$19-Profiles!O31)+MAX(0,Profiles!P31-'User Input'!$B$20)+0.5*MAX(0,'User Input'!$B$20-Profiles!P31)+MAX(0,Profiles!Q31-'User Input'!$B$21)+0.5*MAX(0,'User Input'!$B$21-Profiles!Q31)+MAX(0,Profiles!S31-'User Input'!$B$22)+0.5*MAX(0,'User Input'!$B$22-Profiles!S31)+MAX(0,Profiles!T31-'User Input'!$B$23)+0.5*MAX(0,'User Input'!$B$23-Profiles!T31)+MAX(0,Profiles!U31-'User Input'!$B$24)+0.5*MAX(0,'User Input'!$B$24-Profiles!U31))/40)</f>
        <v/>
      </c>
      <c r="J30" s="61">
        <f>ROUND(60*(E30+F30+G30+IFERROR(VALUE(H30),(E30+F30+G30)/3))/4 + 0.4*I30,1)</f>
        <v/>
      </c>
      <c r="K30" s="60">
        <f>IF(OR(AND('User Input'!$B$6="M",Profiles!$AG31="M"),AND('User Input'!$B$6="F",Profiles!$AG31="F")),1,0)</f>
        <v/>
      </c>
      <c r="L30" s="60">
        <f>IF('User Input'!$B$27="Either",(IF(Profiles!V31&gt;=4,1,0.3)+IF(OR(Profiles!V31&lt;=2,ISNUMBER(SEARCH("Individual",Profiles!D31))),1,0.3))/2,IF('User Input'!$B$27="Team",IF(Profiles!V31&gt;=4,1,0.3),IF(OR(Profiles!V31&lt;=2,ISNUMBER(SEARCH("Individual",Profiles!D31))),1,0.3)))</f>
        <v/>
      </c>
      <c r="M30" s="60">
        <f>IF(IFERROR(MATCH(Profiles!W31,{"None","Light","Medium","Heavy"},0)-1,0)&lt;=IFERROR(MATCH('User Input'!$B$28,{"None","Light","Medium","Heavy"},0)-1,3),1,MAX(0,1-0.4*(IFERROR(MATCH(Profiles!W31,{"None","Light","Medium","Heavy"},0)-1,0)-IFERROR(MATCH('User Input'!$B$28,{"None","Light","Medium","Heavy"},0)-1,3))))</f>
        <v/>
      </c>
      <c r="N30" s="60">
        <f>IF('User Input'!$B$29="neutral",1,IF('User Input'!$B$29="essential",IF(ISNUMBER(SEARCH("Outdoor",Profiles!X31)),1,0.3),IF('User Input'!$B$29="nice",IF(ISNUMBER(SEARCH("Outdoor",Profiles!X31)),1,0.65),IF('User Input'!$B$29="indoor",IF(ISNUMBER(SEARCH("Indoor",Profiles!X31)),1,0.4),1))))</f>
        <v/>
      </c>
      <c r="O30" s="60">
        <f>IF('User Input'!$B$30="Yes",1,IF(Profiles!Y31="Yes",0,1))</f>
        <v/>
      </c>
      <c r="P30" s="60">
        <f>IF(IFERROR(MATCH(Profiles!Z31,{"Low","Medium","High"},0),2)&lt;=IFERROR(MATCH('User Input'!$B$31,{"Low","Medium","High"},0),2),1,MAX(0,1-0.4*(IFERROR(MATCH(Profiles!Z31,{"Low","Medium","High"},0),2)-IFERROR(MATCH('User Input'!$B$31,{"Low","Medium","High"},0),2))))</f>
        <v/>
      </c>
      <c r="Q30" s="60">
        <f>IF('User Input'!$B$32="Yes",IF(ISNUMBER(Profiles!AC31),Profiles!AC31/10,0.5),1)</f>
        <v/>
      </c>
      <c r="R30" s="61">
        <f>IF(OR(K30=0,O30=0),0,ROUND(MIN(100,100*(K30*0.1+L30*0.2+M30*0.2+N30*0.1+P30*0.15+Q30*0.25)*W30*X30*Y30*Z30),1))</f>
        <v/>
      </c>
      <c r="S30" s="61">
        <f>IF(R30=0,0,ROUND(0.5*J30+0.5*R30,1))</f>
        <v/>
      </c>
      <c r="T30" s="36">
        <f>J30-ROW()/1000000</f>
        <v/>
      </c>
      <c r="U30" s="36">
        <f>R30-ROW()/1000000</f>
        <v/>
      </c>
      <c r="V30" s="36">
        <f>S30-ROW()/1000000</f>
        <v/>
      </c>
      <c r="W30" s="36">
        <f>IF(OR(AND(OR(Profiles!D31="Team field",Profiles!D31="Team field contact",Profiles!D31="Team field stick"),'User Input'!$B$34="Yes"),AND(OR(Profiles!D31="Team court",Profiles!D31="Team court contact"),'User Input'!$B$35="Yes"),AND(Profiles!D31="Individual racquet",'User Input'!$B$36="Yes"),AND(OR(Profiles!D31="Combat striking",Profiles!D31="Combat grappling",Profiles!D31="Combat mixed"),'User Input'!$B$37="Yes"),AND(OR(Profiles!D31="Team water contact",Profiles!D31="Individual water"),'User Input'!$B$38="Yes"),AND(OR(Profiles!D31="Endurance individual",Profiles!D31="Endurance individual / pair",Profiles!D31="Endurance individual / pursuit",Profiles!D31="Endurance team / pair",Profiles!D31="Endurance multi"),'User Input'!$B$39="Yes"),AND(OR(Profiles!D31="Strength individual",Profiles!D31="Power-throw individual"),'User Input'!$B$40="Yes"),AND(OR(Profiles!D31="Individual technical",Profiles!D31="Individual aesthetic",Profiles!D31="Team precision"),'User Input'!$B$41="Yes")),1.15,1)</f>
        <v/>
      </c>
      <c r="X30" s="36">
        <f>IF('User Input'!$B$33&lt;&gt;"none",1,IF(IFERROR(VALUE(TRIM(MID(SUBSTITUTE(SUBSTITUTE(Profiles!AA31,"–","-"),"-",REPT(" ",100)),100,100)))&lt;=14,FALSE),0.7,1))</f>
        <v/>
      </c>
      <c r="Y30" s="36">
        <f>IF(OR('User Input'!$B$42="under30",'User Input'!$B$42=""),1,IF('User Input'!$B$42="30to45",IF((IFERROR(MATCH(Profiles!W31,{"None","Light","Medium","Heavy"},0)-1,0)+IFERROR(MATCH(Profiles!AB31,{"Low","Medium","High"},0)-1,0))&gt;=5,0.85,1),IF('User Input'!$B$42="46to60",IF((IFERROR(MATCH(Profiles!W31,{"None","Light","Medium","Heavy"},0)-1,0)+IFERROR(MATCH(Profiles!AB31,{"Low","Medium","High"},0)-1,0))&gt;=5,0.65,IF((IFERROR(MATCH(Profiles!W31,{"None","Light","Medium","Heavy"},0)-1,0)+IFERROR(MATCH(Profiles!AB31,{"Low","Medium","High"},0)-1,0))&gt;=4,0.8,IF((IFERROR(MATCH(Profiles!W31,{"None","Light","Medium","Heavy"},0)-1,0)+IFERROR(MATCH(Profiles!AB31,{"Low","Medium","High"},0)-1,0))&gt;=3,0.9,1))),IF((IFERROR(MATCH(Profiles!W31,{"None","Light","Medium","Heavy"},0)-1,0)+IFERROR(MATCH(Profiles!AB31,{"Low","Medium","High"},0)-1,0))&gt;=5,0.4,IF((IFERROR(MATCH(Profiles!W31,{"None","Light","Medium","Heavy"},0)-1,0)+IFERROR(MATCH(Profiles!AB31,{"Low","Medium","High"},0)-1,0))&gt;=4,0.6,IF((IFERROR(MATCH(Profiles!W31,{"None","Light","Medium","Heavy"},0)-1,0)+IFERROR(MATCH(Profiles!AB31,{"Low","Medium","High"},0)-1,0))&gt;=3,0.75,IF((IFERROR(MATCH(Profiles!W31,{"None","Light","Medium","Heavy"},0)-1,0)+IFERROR(MATCH(Profiles!AB31,{"Low","Medium","High"},0)-1,0))&gt;=2,0.85,1)))))))</f>
        <v/>
      </c>
      <c r="Z30" s="36">
        <f>IF(OR('User Input'!$B$43="none",'User Input'!$B$43=""),1,IF('User Input'!$B$43="minor",IF(IFERROR(MATCH(Profiles!W31,{"None","Light","Medium","Heavy"},0)-1,0)&gt;=3,0.7,IF(IFERROR(MATCH(Profiles!W31,{"None","Light","Medium","Heavy"},0)-1,0)&gt;=2,0.85,1)),IF('User Input'!$B$43="joint",IF(OR(IFERROR(MATCH(Profiles!W31,{"None","Light","Medium","Heavy"},0)-1,0)&gt;=3,IFERROR(MATCH(Profiles!AB31,{"Low","Medium","High"},0)-1,0)&gt;=2),0.5,IF(OR(IFERROR(MATCH(Profiles!W31,{"None","Light","Medium","Heavy"},0)-1,0)&gt;=2,IFERROR(MATCH(Profiles!AB31,{"Low","Medium","High"},0)-1,0)&gt;=1),0.75,1)),IF(OR(IFERROR(MATCH(Profiles!W31,{"None","Light","Medium","Heavy"},0)-1,0)&gt;=2,IFERROR(MATCH(Profiles!AB31,{"Low","Medium","High"},0)-1,0)&gt;=2),0.3,IF(OR(IFERROR(MATCH(Profiles!W31,{"None","Light","Medium","Heavy"},0)-1,0)&gt;=1,IFERROR(MATCH(Profiles!AB31,{"Low","Medium","High"},0)-1,0)&gt;=1),0.6,0.9)))))</f>
        <v/>
      </c>
    </row>
    <row r="31" ht="15" customHeight="1" s="37">
      <c r="A31" s="59">
        <f>Profiles!A32</f>
        <v/>
      </c>
      <c r="B31" s="59">
        <f>Profiles!B32</f>
        <v/>
      </c>
      <c r="C31" s="59">
        <f>Profiles!C32</f>
        <v/>
      </c>
      <c r="D31" s="59">
        <f>Profiles!D32</f>
        <v/>
      </c>
      <c r="E31" s="60">
        <f>IF(ISNUMBER(Profiles!E32),IF(ISNUMBER(Profiles!F32),MAX(0,1-(MAX(0,ABS('User Input'!$B$9-Profiles!E32)-Profiles!F32))/Profiles!F32/3),MAX(0,1-ABS('User Input'!$B$9-Profiles!E32)/(Profiles!E32*0.1)/3)),0.5)</f>
        <v/>
      </c>
      <c r="F31" s="60">
        <f>IF(ISNUMBER(Profiles!G32),IF(ISNUMBER(Profiles!H32),MAX(0,1-(MAX(0,ABS('User Input'!$B$10-Profiles!G32)-Profiles!H32))/Profiles!H32/3),MAX(0,1-ABS('User Input'!$B$10-Profiles!G32)/(Profiles!G32*0.15)/3)),0.5)</f>
        <v/>
      </c>
      <c r="G31" s="60">
        <f>IF(ISNUMBER(Profiles!J32),MAX(0,1-ABS('User Input'!$B$12-Profiles!J32)/5/3),0.5)</f>
        <v/>
      </c>
      <c r="H31" s="60">
        <f>IF(ISNUMBER(Profiles!K32),MAX(0,1-ABS('User Input'!$B$14-Profiles!K32)/0.03/3),"n/a")</f>
        <v/>
      </c>
      <c r="I31" s="61">
        <f>100*MAX(0,1-(MAX(0,Profiles!M32-'User Input'!$B$17)+0.5*MAX(0,'User Input'!$B$17-Profiles!M32)+MAX(0,Profiles!N32-'User Input'!$B$18)+0.5*MAX(0,'User Input'!$B$18-Profiles!N32)+MAX(0,Profiles!O32-'User Input'!$B$19)+0.5*MAX(0,'User Input'!$B$19-Profiles!O32)+MAX(0,Profiles!P32-'User Input'!$B$20)+0.5*MAX(0,'User Input'!$B$20-Profiles!P32)+MAX(0,Profiles!Q32-'User Input'!$B$21)+0.5*MAX(0,'User Input'!$B$21-Profiles!Q32)+MAX(0,Profiles!S32-'User Input'!$B$22)+0.5*MAX(0,'User Input'!$B$22-Profiles!S32)+MAX(0,Profiles!T32-'User Input'!$B$23)+0.5*MAX(0,'User Input'!$B$23-Profiles!T32)+MAX(0,Profiles!U32-'User Input'!$B$24)+0.5*MAX(0,'User Input'!$B$24-Profiles!U32))/40)</f>
        <v/>
      </c>
      <c r="J31" s="61">
        <f>ROUND(60*(E31+F31+G31+IFERROR(VALUE(H31),(E31+F31+G31)/3))/4 + 0.4*I31,1)</f>
        <v/>
      </c>
      <c r="K31" s="60">
        <f>IF(OR(AND('User Input'!$B$6="M",Profiles!$AG32="M"),AND('User Input'!$B$6="F",Profiles!$AG32="F")),1,0)</f>
        <v/>
      </c>
      <c r="L31" s="60">
        <f>IF('User Input'!$B$27="Either",(IF(Profiles!V32&gt;=4,1,0.3)+IF(OR(Profiles!V32&lt;=2,ISNUMBER(SEARCH("Individual",Profiles!D32))),1,0.3))/2,IF('User Input'!$B$27="Team",IF(Profiles!V32&gt;=4,1,0.3),IF(OR(Profiles!V32&lt;=2,ISNUMBER(SEARCH("Individual",Profiles!D32))),1,0.3)))</f>
        <v/>
      </c>
      <c r="M31" s="60">
        <f>IF(IFERROR(MATCH(Profiles!W32,{"None","Light","Medium","Heavy"},0)-1,0)&lt;=IFERROR(MATCH('User Input'!$B$28,{"None","Light","Medium","Heavy"},0)-1,3),1,MAX(0,1-0.4*(IFERROR(MATCH(Profiles!W32,{"None","Light","Medium","Heavy"},0)-1,0)-IFERROR(MATCH('User Input'!$B$28,{"None","Light","Medium","Heavy"},0)-1,3))))</f>
        <v/>
      </c>
      <c r="N31" s="60">
        <f>IF('User Input'!$B$29="neutral",1,IF('User Input'!$B$29="essential",IF(ISNUMBER(SEARCH("Outdoor",Profiles!X32)),1,0.3),IF('User Input'!$B$29="nice",IF(ISNUMBER(SEARCH("Outdoor",Profiles!X32)),1,0.65),IF('User Input'!$B$29="indoor",IF(ISNUMBER(SEARCH("Indoor",Profiles!X32)),1,0.4),1))))</f>
        <v/>
      </c>
      <c r="O31" s="60">
        <f>IF('User Input'!$B$30="Yes",1,IF(Profiles!Y32="Yes",0,1))</f>
        <v/>
      </c>
      <c r="P31" s="60">
        <f>IF(IFERROR(MATCH(Profiles!Z32,{"Low","Medium","High"},0),2)&lt;=IFERROR(MATCH('User Input'!$B$31,{"Low","Medium","High"},0),2),1,MAX(0,1-0.4*(IFERROR(MATCH(Profiles!Z32,{"Low","Medium","High"},0),2)-IFERROR(MATCH('User Input'!$B$31,{"Low","Medium","High"},0),2))))</f>
        <v/>
      </c>
      <c r="Q31" s="60">
        <f>IF('User Input'!$B$32="Yes",IF(ISNUMBER(Profiles!AC32),Profiles!AC32/10,0.5),1)</f>
        <v/>
      </c>
      <c r="R31" s="61">
        <f>IF(OR(K31=0,O31=0),0,ROUND(MIN(100,100*(K31*0.1+L31*0.2+M31*0.2+N31*0.1+P31*0.15+Q31*0.25)*W31*X31*Y31*Z31),1))</f>
        <v/>
      </c>
      <c r="S31" s="61">
        <f>IF(R31=0,0,ROUND(0.5*J31+0.5*R31,1))</f>
        <v/>
      </c>
      <c r="T31" s="36">
        <f>J31-ROW()/1000000</f>
        <v/>
      </c>
      <c r="U31" s="36">
        <f>R31-ROW()/1000000</f>
        <v/>
      </c>
      <c r="V31" s="36">
        <f>S31-ROW()/1000000</f>
        <v/>
      </c>
      <c r="W31" s="36">
        <f>IF(OR(AND(OR(Profiles!D32="Team field",Profiles!D32="Team field contact",Profiles!D32="Team field stick"),'User Input'!$B$34="Yes"),AND(OR(Profiles!D32="Team court",Profiles!D32="Team court contact"),'User Input'!$B$35="Yes"),AND(Profiles!D32="Individual racquet",'User Input'!$B$36="Yes"),AND(OR(Profiles!D32="Combat striking",Profiles!D32="Combat grappling",Profiles!D32="Combat mixed"),'User Input'!$B$37="Yes"),AND(OR(Profiles!D32="Team water contact",Profiles!D32="Individual water"),'User Input'!$B$38="Yes"),AND(OR(Profiles!D32="Endurance individual",Profiles!D32="Endurance individual / pair",Profiles!D32="Endurance individual / pursuit",Profiles!D32="Endurance team / pair",Profiles!D32="Endurance multi"),'User Input'!$B$39="Yes"),AND(OR(Profiles!D32="Strength individual",Profiles!D32="Power-throw individual"),'User Input'!$B$40="Yes"),AND(OR(Profiles!D32="Individual technical",Profiles!D32="Individual aesthetic",Profiles!D32="Team precision"),'User Input'!$B$41="Yes")),1.15,1)</f>
        <v/>
      </c>
      <c r="X31" s="36">
        <f>IF('User Input'!$B$33&lt;&gt;"none",1,IF(IFERROR(VALUE(TRIM(MID(SUBSTITUTE(SUBSTITUTE(Profiles!AA32,"–","-"),"-",REPT(" ",100)),100,100)))&lt;=14,FALSE),0.7,1))</f>
        <v/>
      </c>
      <c r="Y31" s="36">
        <f>IF(OR('User Input'!$B$42="under30",'User Input'!$B$42=""),1,IF('User Input'!$B$42="30to45",IF((IFERROR(MATCH(Profiles!W32,{"None","Light","Medium","Heavy"},0)-1,0)+IFERROR(MATCH(Profiles!AB32,{"Low","Medium","High"},0)-1,0))&gt;=5,0.85,1),IF('User Input'!$B$42="46to60",IF((IFERROR(MATCH(Profiles!W32,{"None","Light","Medium","Heavy"},0)-1,0)+IFERROR(MATCH(Profiles!AB32,{"Low","Medium","High"},0)-1,0))&gt;=5,0.65,IF((IFERROR(MATCH(Profiles!W32,{"None","Light","Medium","Heavy"},0)-1,0)+IFERROR(MATCH(Profiles!AB32,{"Low","Medium","High"},0)-1,0))&gt;=4,0.8,IF((IFERROR(MATCH(Profiles!W32,{"None","Light","Medium","Heavy"},0)-1,0)+IFERROR(MATCH(Profiles!AB32,{"Low","Medium","High"},0)-1,0))&gt;=3,0.9,1))),IF((IFERROR(MATCH(Profiles!W32,{"None","Light","Medium","Heavy"},0)-1,0)+IFERROR(MATCH(Profiles!AB32,{"Low","Medium","High"},0)-1,0))&gt;=5,0.4,IF((IFERROR(MATCH(Profiles!W32,{"None","Light","Medium","Heavy"},0)-1,0)+IFERROR(MATCH(Profiles!AB32,{"Low","Medium","High"},0)-1,0))&gt;=4,0.6,IF((IFERROR(MATCH(Profiles!W32,{"None","Light","Medium","Heavy"},0)-1,0)+IFERROR(MATCH(Profiles!AB32,{"Low","Medium","High"},0)-1,0))&gt;=3,0.75,IF((IFERROR(MATCH(Profiles!W32,{"None","Light","Medium","Heavy"},0)-1,0)+IFERROR(MATCH(Profiles!AB32,{"Low","Medium","High"},0)-1,0))&gt;=2,0.85,1)))))))</f>
        <v/>
      </c>
      <c r="Z31" s="36">
        <f>IF(OR('User Input'!$B$43="none",'User Input'!$B$43=""),1,IF('User Input'!$B$43="minor",IF(IFERROR(MATCH(Profiles!W32,{"None","Light","Medium","Heavy"},0)-1,0)&gt;=3,0.7,IF(IFERROR(MATCH(Profiles!W32,{"None","Light","Medium","Heavy"},0)-1,0)&gt;=2,0.85,1)),IF('User Input'!$B$43="joint",IF(OR(IFERROR(MATCH(Profiles!W32,{"None","Light","Medium","Heavy"},0)-1,0)&gt;=3,IFERROR(MATCH(Profiles!AB32,{"Low","Medium","High"},0)-1,0)&gt;=2),0.5,IF(OR(IFERROR(MATCH(Profiles!W32,{"None","Light","Medium","Heavy"},0)-1,0)&gt;=2,IFERROR(MATCH(Profiles!AB32,{"Low","Medium","High"},0)-1,0)&gt;=1),0.75,1)),IF(OR(IFERROR(MATCH(Profiles!W32,{"None","Light","Medium","Heavy"},0)-1,0)&gt;=2,IFERROR(MATCH(Profiles!AB32,{"Low","Medium","High"},0)-1,0)&gt;=2),0.3,IF(OR(IFERROR(MATCH(Profiles!W32,{"None","Light","Medium","Heavy"},0)-1,0)&gt;=1,IFERROR(MATCH(Profiles!AB32,{"Low","Medium","High"},0)-1,0)&gt;=1),0.6,0.9)))))</f>
        <v/>
      </c>
    </row>
    <row r="32" ht="15" customHeight="1" s="37">
      <c r="A32" s="59">
        <f>Profiles!A33</f>
        <v/>
      </c>
      <c r="B32" s="59">
        <f>Profiles!B33</f>
        <v/>
      </c>
      <c r="C32" s="59">
        <f>Profiles!C33</f>
        <v/>
      </c>
      <c r="D32" s="59">
        <f>Profiles!D33</f>
        <v/>
      </c>
      <c r="E32" s="60">
        <f>IF(ISNUMBER(Profiles!E33),IF(ISNUMBER(Profiles!F33),MAX(0,1-(MAX(0,ABS('User Input'!$B$9-Profiles!E33)-Profiles!F33))/Profiles!F33/3),MAX(0,1-ABS('User Input'!$B$9-Profiles!E33)/(Profiles!E33*0.1)/3)),0.5)</f>
        <v/>
      </c>
      <c r="F32" s="60">
        <f>IF(ISNUMBER(Profiles!G33),IF(ISNUMBER(Profiles!H33),MAX(0,1-(MAX(0,ABS('User Input'!$B$10-Profiles!G33)-Profiles!H33))/Profiles!H33/3),MAX(0,1-ABS('User Input'!$B$10-Profiles!G33)/(Profiles!G33*0.15)/3)),0.5)</f>
        <v/>
      </c>
      <c r="G32" s="60">
        <f>IF(ISNUMBER(Profiles!J33),MAX(0,1-ABS('User Input'!$B$12-Profiles!J33)/5/3),0.5)</f>
        <v/>
      </c>
      <c r="H32" s="60">
        <f>IF(ISNUMBER(Profiles!K33),MAX(0,1-ABS('User Input'!$B$14-Profiles!K33)/0.03/3),"n/a")</f>
        <v/>
      </c>
      <c r="I32" s="61">
        <f>100*MAX(0,1-(MAX(0,Profiles!M33-'User Input'!$B$17)+0.5*MAX(0,'User Input'!$B$17-Profiles!M33)+MAX(0,Profiles!N33-'User Input'!$B$18)+0.5*MAX(0,'User Input'!$B$18-Profiles!N33)+MAX(0,Profiles!O33-'User Input'!$B$19)+0.5*MAX(0,'User Input'!$B$19-Profiles!O33)+MAX(0,Profiles!P33-'User Input'!$B$20)+0.5*MAX(0,'User Input'!$B$20-Profiles!P33)+MAX(0,Profiles!Q33-'User Input'!$B$21)+0.5*MAX(0,'User Input'!$B$21-Profiles!Q33)+MAX(0,Profiles!S33-'User Input'!$B$22)+0.5*MAX(0,'User Input'!$B$22-Profiles!S33)+MAX(0,Profiles!T33-'User Input'!$B$23)+0.5*MAX(0,'User Input'!$B$23-Profiles!T33)+MAX(0,Profiles!U33-'User Input'!$B$24)+0.5*MAX(0,'User Input'!$B$24-Profiles!U33))/40)</f>
        <v/>
      </c>
      <c r="J32" s="61">
        <f>ROUND(60*(E32+F32+G32+IFERROR(VALUE(H32),(E32+F32+G32)/3))/4 + 0.4*I32,1)</f>
        <v/>
      </c>
      <c r="K32" s="60">
        <f>IF(OR(AND('User Input'!$B$6="M",Profiles!$AG33="M"),AND('User Input'!$B$6="F",Profiles!$AG33="F")),1,0)</f>
        <v/>
      </c>
      <c r="L32" s="60">
        <f>IF('User Input'!$B$27="Either",(IF(Profiles!V33&gt;=4,1,0.3)+IF(OR(Profiles!V33&lt;=2,ISNUMBER(SEARCH("Individual",Profiles!D33))),1,0.3))/2,IF('User Input'!$B$27="Team",IF(Profiles!V33&gt;=4,1,0.3),IF(OR(Profiles!V33&lt;=2,ISNUMBER(SEARCH("Individual",Profiles!D33))),1,0.3)))</f>
        <v/>
      </c>
      <c r="M32" s="60">
        <f>IF(IFERROR(MATCH(Profiles!W33,{"None","Light","Medium","Heavy"},0)-1,0)&lt;=IFERROR(MATCH('User Input'!$B$28,{"None","Light","Medium","Heavy"},0)-1,3),1,MAX(0,1-0.4*(IFERROR(MATCH(Profiles!W33,{"None","Light","Medium","Heavy"},0)-1,0)-IFERROR(MATCH('User Input'!$B$28,{"None","Light","Medium","Heavy"},0)-1,3))))</f>
        <v/>
      </c>
      <c r="N32" s="60">
        <f>IF('User Input'!$B$29="neutral",1,IF('User Input'!$B$29="essential",IF(ISNUMBER(SEARCH("Outdoor",Profiles!X33)),1,0.3),IF('User Input'!$B$29="nice",IF(ISNUMBER(SEARCH("Outdoor",Profiles!X33)),1,0.65),IF('User Input'!$B$29="indoor",IF(ISNUMBER(SEARCH("Indoor",Profiles!X33)),1,0.4),1))))</f>
        <v/>
      </c>
      <c r="O32" s="60">
        <f>IF('User Input'!$B$30="Yes",1,IF(Profiles!Y33="Yes",0,1))</f>
        <v/>
      </c>
      <c r="P32" s="60">
        <f>IF(IFERROR(MATCH(Profiles!Z33,{"Low","Medium","High"},0),2)&lt;=IFERROR(MATCH('User Input'!$B$31,{"Low","Medium","High"},0),2),1,MAX(0,1-0.4*(IFERROR(MATCH(Profiles!Z33,{"Low","Medium","High"},0),2)-IFERROR(MATCH('User Input'!$B$31,{"Low","Medium","High"},0),2))))</f>
        <v/>
      </c>
      <c r="Q32" s="60">
        <f>IF('User Input'!$B$32="Yes",IF(ISNUMBER(Profiles!AC33),Profiles!AC33/10,0.5),1)</f>
        <v/>
      </c>
      <c r="R32" s="61">
        <f>IF(OR(K32=0,O32=0),0,ROUND(MIN(100,100*(K32*0.1+L32*0.2+M32*0.2+N32*0.1+P32*0.15+Q32*0.25)*W32*X32*Y32*Z32),1))</f>
        <v/>
      </c>
      <c r="S32" s="61">
        <f>IF(R32=0,0,ROUND(0.5*J32+0.5*R32,1))</f>
        <v/>
      </c>
      <c r="T32" s="36">
        <f>J32-ROW()/1000000</f>
        <v/>
      </c>
      <c r="U32" s="36">
        <f>R32-ROW()/1000000</f>
        <v/>
      </c>
      <c r="V32" s="36">
        <f>S32-ROW()/1000000</f>
        <v/>
      </c>
      <c r="W32" s="36">
        <f>IF(OR(AND(OR(Profiles!D33="Team field",Profiles!D33="Team field contact",Profiles!D33="Team field stick"),'User Input'!$B$34="Yes"),AND(OR(Profiles!D33="Team court",Profiles!D33="Team court contact"),'User Input'!$B$35="Yes"),AND(Profiles!D33="Individual racquet",'User Input'!$B$36="Yes"),AND(OR(Profiles!D33="Combat striking",Profiles!D33="Combat grappling",Profiles!D33="Combat mixed"),'User Input'!$B$37="Yes"),AND(OR(Profiles!D33="Team water contact",Profiles!D33="Individual water"),'User Input'!$B$38="Yes"),AND(OR(Profiles!D33="Endurance individual",Profiles!D33="Endurance individual / pair",Profiles!D33="Endurance individual / pursuit",Profiles!D33="Endurance team / pair",Profiles!D33="Endurance multi"),'User Input'!$B$39="Yes"),AND(OR(Profiles!D33="Strength individual",Profiles!D33="Power-throw individual"),'User Input'!$B$40="Yes"),AND(OR(Profiles!D33="Individual technical",Profiles!D33="Individual aesthetic",Profiles!D33="Team precision"),'User Input'!$B$41="Yes")),1.15,1)</f>
        <v/>
      </c>
      <c r="X32" s="36">
        <f>IF('User Input'!$B$33&lt;&gt;"none",1,IF(IFERROR(VALUE(TRIM(MID(SUBSTITUTE(SUBSTITUTE(Profiles!AA33,"–","-"),"-",REPT(" ",100)),100,100)))&lt;=14,FALSE),0.7,1))</f>
        <v/>
      </c>
      <c r="Y32" s="36">
        <f>IF(OR('User Input'!$B$42="under30",'User Input'!$B$42=""),1,IF('User Input'!$B$42="30to45",IF((IFERROR(MATCH(Profiles!W33,{"None","Light","Medium","Heavy"},0)-1,0)+IFERROR(MATCH(Profiles!AB33,{"Low","Medium","High"},0)-1,0))&gt;=5,0.85,1),IF('User Input'!$B$42="46to60",IF((IFERROR(MATCH(Profiles!W33,{"None","Light","Medium","Heavy"},0)-1,0)+IFERROR(MATCH(Profiles!AB33,{"Low","Medium","High"},0)-1,0))&gt;=5,0.65,IF((IFERROR(MATCH(Profiles!W33,{"None","Light","Medium","Heavy"},0)-1,0)+IFERROR(MATCH(Profiles!AB33,{"Low","Medium","High"},0)-1,0))&gt;=4,0.8,IF((IFERROR(MATCH(Profiles!W33,{"None","Light","Medium","Heavy"},0)-1,0)+IFERROR(MATCH(Profiles!AB33,{"Low","Medium","High"},0)-1,0))&gt;=3,0.9,1))),IF((IFERROR(MATCH(Profiles!W33,{"None","Light","Medium","Heavy"},0)-1,0)+IFERROR(MATCH(Profiles!AB33,{"Low","Medium","High"},0)-1,0))&gt;=5,0.4,IF((IFERROR(MATCH(Profiles!W33,{"None","Light","Medium","Heavy"},0)-1,0)+IFERROR(MATCH(Profiles!AB33,{"Low","Medium","High"},0)-1,0))&gt;=4,0.6,IF((IFERROR(MATCH(Profiles!W33,{"None","Light","Medium","Heavy"},0)-1,0)+IFERROR(MATCH(Profiles!AB33,{"Low","Medium","High"},0)-1,0))&gt;=3,0.75,IF((IFERROR(MATCH(Profiles!W33,{"None","Light","Medium","Heavy"},0)-1,0)+IFERROR(MATCH(Profiles!AB33,{"Low","Medium","High"},0)-1,0))&gt;=2,0.85,1)))))))</f>
        <v/>
      </c>
      <c r="Z32" s="36">
        <f>IF(OR('User Input'!$B$43="none",'User Input'!$B$43=""),1,IF('User Input'!$B$43="minor",IF(IFERROR(MATCH(Profiles!W33,{"None","Light","Medium","Heavy"},0)-1,0)&gt;=3,0.7,IF(IFERROR(MATCH(Profiles!W33,{"None","Light","Medium","Heavy"},0)-1,0)&gt;=2,0.85,1)),IF('User Input'!$B$43="joint",IF(OR(IFERROR(MATCH(Profiles!W33,{"None","Light","Medium","Heavy"},0)-1,0)&gt;=3,IFERROR(MATCH(Profiles!AB33,{"Low","Medium","High"},0)-1,0)&gt;=2),0.5,IF(OR(IFERROR(MATCH(Profiles!W33,{"None","Light","Medium","Heavy"},0)-1,0)&gt;=2,IFERROR(MATCH(Profiles!AB33,{"Low","Medium","High"},0)-1,0)&gt;=1),0.75,1)),IF(OR(IFERROR(MATCH(Profiles!W33,{"None","Light","Medium","Heavy"},0)-1,0)&gt;=2,IFERROR(MATCH(Profiles!AB33,{"Low","Medium","High"},0)-1,0)&gt;=2),0.3,IF(OR(IFERROR(MATCH(Profiles!W33,{"None","Light","Medium","Heavy"},0)-1,0)&gt;=1,IFERROR(MATCH(Profiles!AB33,{"Low","Medium","High"},0)-1,0)&gt;=1),0.6,0.9)))))</f>
        <v/>
      </c>
    </row>
    <row r="33" ht="15" customHeight="1" s="37">
      <c r="A33" s="59">
        <f>Profiles!A34</f>
        <v/>
      </c>
      <c r="B33" s="59">
        <f>Profiles!B34</f>
        <v/>
      </c>
      <c r="C33" s="59">
        <f>Profiles!C34</f>
        <v/>
      </c>
      <c r="D33" s="59">
        <f>Profiles!D34</f>
        <v/>
      </c>
      <c r="E33" s="60">
        <f>IF(ISNUMBER(Profiles!E34),IF(ISNUMBER(Profiles!F34),MAX(0,1-(MAX(0,ABS('User Input'!$B$9-Profiles!E34)-Profiles!F34))/Profiles!F34/3),MAX(0,1-ABS('User Input'!$B$9-Profiles!E34)/(Profiles!E34*0.1)/3)),0.5)</f>
        <v/>
      </c>
      <c r="F33" s="60">
        <f>IF(ISNUMBER(Profiles!G34),IF(ISNUMBER(Profiles!H34),MAX(0,1-(MAX(0,ABS('User Input'!$B$10-Profiles!G34)-Profiles!H34))/Profiles!H34/3),MAX(0,1-ABS('User Input'!$B$10-Profiles!G34)/(Profiles!G34*0.15)/3)),0.5)</f>
        <v/>
      </c>
      <c r="G33" s="60">
        <f>IF(ISNUMBER(Profiles!J34),MAX(0,1-ABS('User Input'!$B$12-Profiles!J34)/5/3),0.5)</f>
        <v/>
      </c>
      <c r="H33" s="60">
        <f>IF(ISNUMBER(Profiles!K34),MAX(0,1-ABS('User Input'!$B$14-Profiles!K34)/0.03/3),"n/a")</f>
        <v/>
      </c>
      <c r="I33" s="61">
        <f>100*MAX(0,1-(MAX(0,Profiles!M34-'User Input'!$B$17)+0.5*MAX(0,'User Input'!$B$17-Profiles!M34)+MAX(0,Profiles!N34-'User Input'!$B$18)+0.5*MAX(0,'User Input'!$B$18-Profiles!N34)+MAX(0,Profiles!O34-'User Input'!$B$19)+0.5*MAX(0,'User Input'!$B$19-Profiles!O34)+MAX(0,Profiles!P34-'User Input'!$B$20)+0.5*MAX(0,'User Input'!$B$20-Profiles!P34)+MAX(0,Profiles!Q34-'User Input'!$B$21)+0.5*MAX(0,'User Input'!$B$21-Profiles!Q34)+MAX(0,Profiles!S34-'User Input'!$B$22)+0.5*MAX(0,'User Input'!$B$22-Profiles!S34)+MAX(0,Profiles!T34-'User Input'!$B$23)+0.5*MAX(0,'User Input'!$B$23-Profiles!T34)+MAX(0,Profiles!U34-'User Input'!$B$24)+0.5*MAX(0,'User Input'!$B$24-Profiles!U34))/40)</f>
        <v/>
      </c>
      <c r="J33" s="61">
        <f>ROUND(60*(E33+F33+G33+IFERROR(VALUE(H33),(E33+F33+G33)/3))/4 + 0.4*I33,1)</f>
        <v/>
      </c>
      <c r="K33" s="60">
        <f>IF(OR(AND('User Input'!$B$6="M",Profiles!$AG34="M"),AND('User Input'!$B$6="F",Profiles!$AG34="F")),1,0)</f>
        <v/>
      </c>
      <c r="L33" s="60">
        <f>IF('User Input'!$B$27="Either",(IF(Profiles!V34&gt;=4,1,0.3)+IF(OR(Profiles!V34&lt;=2,ISNUMBER(SEARCH("Individual",Profiles!D34))),1,0.3))/2,IF('User Input'!$B$27="Team",IF(Profiles!V34&gt;=4,1,0.3),IF(OR(Profiles!V34&lt;=2,ISNUMBER(SEARCH("Individual",Profiles!D34))),1,0.3)))</f>
        <v/>
      </c>
      <c r="M33" s="60">
        <f>IF(IFERROR(MATCH(Profiles!W34,{"None","Light","Medium","Heavy"},0)-1,0)&lt;=IFERROR(MATCH('User Input'!$B$28,{"None","Light","Medium","Heavy"},0)-1,3),1,MAX(0,1-0.4*(IFERROR(MATCH(Profiles!W34,{"None","Light","Medium","Heavy"},0)-1,0)-IFERROR(MATCH('User Input'!$B$28,{"None","Light","Medium","Heavy"},0)-1,3))))</f>
        <v/>
      </c>
      <c r="N33" s="60">
        <f>IF('User Input'!$B$29="neutral",1,IF('User Input'!$B$29="essential",IF(ISNUMBER(SEARCH("Outdoor",Profiles!X34)),1,0.3),IF('User Input'!$B$29="nice",IF(ISNUMBER(SEARCH("Outdoor",Profiles!X34)),1,0.65),IF('User Input'!$B$29="indoor",IF(ISNUMBER(SEARCH("Indoor",Profiles!X34)),1,0.4),1))))</f>
        <v/>
      </c>
      <c r="O33" s="60">
        <f>IF('User Input'!$B$30="Yes",1,IF(Profiles!Y34="Yes",0,1))</f>
        <v/>
      </c>
      <c r="P33" s="60">
        <f>IF(IFERROR(MATCH(Profiles!Z34,{"Low","Medium","High"},0),2)&lt;=IFERROR(MATCH('User Input'!$B$31,{"Low","Medium","High"},0),2),1,MAX(0,1-0.4*(IFERROR(MATCH(Profiles!Z34,{"Low","Medium","High"},0),2)-IFERROR(MATCH('User Input'!$B$31,{"Low","Medium","High"},0),2))))</f>
        <v/>
      </c>
      <c r="Q33" s="60">
        <f>IF('User Input'!$B$32="Yes",IF(ISNUMBER(Profiles!AC34),Profiles!AC34/10,0.5),1)</f>
        <v/>
      </c>
      <c r="R33" s="61">
        <f>IF(OR(K33=0,O33=0),0,ROUND(MIN(100,100*(K33*0.1+L33*0.2+M33*0.2+N33*0.1+P33*0.15+Q33*0.25)*W33*X33*Y33*Z33),1))</f>
        <v/>
      </c>
      <c r="S33" s="61">
        <f>IF(R33=0,0,ROUND(0.5*J33+0.5*R33,1))</f>
        <v/>
      </c>
      <c r="T33" s="36">
        <f>J33-ROW()/1000000</f>
        <v/>
      </c>
      <c r="U33" s="36">
        <f>R33-ROW()/1000000</f>
        <v/>
      </c>
      <c r="V33" s="36">
        <f>S33-ROW()/1000000</f>
        <v/>
      </c>
      <c r="W33" s="36">
        <f>IF(OR(AND(OR(Profiles!D34="Team field",Profiles!D34="Team field contact",Profiles!D34="Team field stick"),'User Input'!$B$34="Yes"),AND(OR(Profiles!D34="Team court",Profiles!D34="Team court contact"),'User Input'!$B$35="Yes"),AND(Profiles!D34="Individual racquet",'User Input'!$B$36="Yes"),AND(OR(Profiles!D34="Combat striking",Profiles!D34="Combat grappling",Profiles!D34="Combat mixed"),'User Input'!$B$37="Yes"),AND(OR(Profiles!D34="Team water contact",Profiles!D34="Individual water"),'User Input'!$B$38="Yes"),AND(OR(Profiles!D34="Endurance individual",Profiles!D34="Endurance individual / pair",Profiles!D34="Endurance individual / pursuit",Profiles!D34="Endurance team / pair",Profiles!D34="Endurance multi"),'User Input'!$B$39="Yes"),AND(OR(Profiles!D34="Strength individual",Profiles!D34="Power-throw individual"),'User Input'!$B$40="Yes"),AND(OR(Profiles!D34="Individual technical",Profiles!D34="Individual aesthetic",Profiles!D34="Team precision"),'User Input'!$B$41="Yes")),1.15,1)</f>
        <v/>
      </c>
      <c r="X33" s="36">
        <f>IF('User Input'!$B$33&lt;&gt;"none",1,IF(IFERROR(VALUE(TRIM(MID(SUBSTITUTE(SUBSTITUTE(Profiles!AA34,"–","-"),"-",REPT(" ",100)),100,100)))&lt;=14,FALSE),0.7,1))</f>
        <v/>
      </c>
      <c r="Y33" s="36">
        <f>IF(OR('User Input'!$B$42="under30",'User Input'!$B$42=""),1,IF('User Input'!$B$42="30to45",IF((IFERROR(MATCH(Profiles!W34,{"None","Light","Medium","Heavy"},0)-1,0)+IFERROR(MATCH(Profiles!AB34,{"Low","Medium","High"},0)-1,0))&gt;=5,0.85,1),IF('User Input'!$B$42="46to60",IF((IFERROR(MATCH(Profiles!W34,{"None","Light","Medium","Heavy"},0)-1,0)+IFERROR(MATCH(Profiles!AB34,{"Low","Medium","High"},0)-1,0))&gt;=5,0.65,IF((IFERROR(MATCH(Profiles!W34,{"None","Light","Medium","Heavy"},0)-1,0)+IFERROR(MATCH(Profiles!AB34,{"Low","Medium","High"},0)-1,0))&gt;=4,0.8,IF((IFERROR(MATCH(Profiles!W34,{"None","Light","Medium","Heavy"},0)-1,0)+IFERROR(MATCH(Profiles!AB34,{"Low","Medium","High"},0)-1,0))&gt;=3,0.9,1))),IF((IFERROR(MATCH(Profiles!W34,{"None","Light","Medium","Heavy"},0)-1,0)+IFERROR(MATCH(Profiles!AB34,{"Low","Medium","High"},0)-1,0))&gt;=5,0.4,IF((IFERROR(MATCH(Profiles!W34,{"None","Light","Medium","Heavy"},0)-1,0)+IFERROR(MATCH(Profiles!AB34,{"Low","Medium","High"},0)-1,0))&gt;=4,0.6,IF((IFERROR(MATCH(Profiles!W34,{"None","Light","Medium","Heavy"},0)-1,0)+IFERROR(MATCH(Profiles!AB34,{"Low","Medium","High"},0)-1,0))&gt;=3,0.75,IF((IFERROR(MATCH(Profiles!W34,{"None","Light","Medium","Heavy"},0)-1,0)+IFERROR(MATCH(Profiles!AB34,{"Low","Medium","High"},0)-1,0))&gt;=2,0.85,1)))))))</f>
        <v/>
      </c>
      <c r="Z33" s="36">
        <f>IF(OR('User Input'!$B$43="none",'User Input'!$B$43=""),1,IF('User Input'!$B$43="minor",IF(IFERROR(MATCH(Profiles!W34,{"None","Light","Medium","Heavy"},0)-1,0)&gt;=3,0.7,IF(IFERROR(MATCH(Profiles!W34,{"None","Light","Medium","Heavy"},0)-1,0)&gt;=2,0.85,1)),IF('User Input'!$B$43="joint",IF(OR(IFERROR(MATCH(Profiles!W34,{"None","Light","Medium","Heavy"},0)-1,0)&gt;=3,IFERROR(MATCH(Profiles!AB34,{"Low","Medium","High"},0)-1,0)&gt;=2),0.5,IF(OR(IFERROR(MATCH(Profiles!W34,{"None","Light","Medium","Heavy"},0)-1,0)&gt;=2,IFERROR(MATCH(Profiles!AB34,{"Low","Medium","High"},0)-1,0)&gt;=1),0.75,1)),IF(OR(IFERROR(MATCH(Profiles!W34,{"None","Light","Medium","Heavy"},0)-1,0)&gt;=2,IFERROR(MATCH(Profiles!AB34,{"Low","Medium","High"},0)-1,0)&gt;=2),0.3,IF(OR(IFERROR(MATCH(Profiles!W34,{"None","Light","Medium","Heavy"},0)-1,0)&gt;=1,IFERROR(MATCH(Profiles!AB34,{"Low","Medium","High"},0)-1,0)&gt;=1),0.6,0.9)))))</f>
        <v/>
      </c>
    </row>
    <row r="34" ht="23.25" customHeight="1" s="37">
      <c r="A34" s="59">
        <f>Profiles!A35</f>
        <v/>
      </c>
      <c r="B34" s="59">
        <f>Profiles!B35</f>
        <v/>
      </c>
      <c r="C34" s="59">
        <f>Profiles!C35</f>
        <v/>
      </c>
      <c r="D34" s="59">
        <f>Profiles!D35</f>
        <v/>
      </c>
      <c r="E34" s="60">
        <f>IF(ISNUMBER(Profiles!E35),IF(ISNUMBER(Profiles!F35),MAX(0,1-(MAX(0,ABS('User Input'!$B$9-Profiles!E35)-Profiles!F35))/Profiles!F35/3),MAX(0,1-ABS('User Input'!$B$9-Profiles!E35)/(Profiles!E35*0.1)/3)),0.5)</f>
        <v/>
      </c>
      <c r="F34" s="60">
        <f>IF(ISNUMBER(Profiles!G35),IF(ISNUMBER(Profiles!H35),MAX(0,1-(MAX(0,ABS('User Input'!$B$10-Profiles!G35)-Profiles!H35))/Profiles!H35/3),MAX(0,1-ABS('User Input'!$B$10-Profiles!G35)/(Profiles!G35*0.15)/3)),0.5)</f>
        <v/>
      </c>
      <c r="G34" s="60">
        <f>IF(ISNUMBER(Profiles!J35),MAX(0,1-ABS('User Input'!$B$12-Profiles!J35)/5/3),0.5)</f>
        <v/>
      </c>
      <c r="H34" s="60">
        <f>IF(ISNUMBER(Profiles!K35),MAX(0,1-ABS('User Input'!$B$14-Profiles!K35)/0.03/3),"n/a")</f>
        <v/>
      </c>
      <c r="I34" s="61">
        <f>100*MAX(0,1-(MAX(0,Profiles!M35-'User Input'!$B$17)+0.5*MAX(0,'User Input'!$B$17-Profiles!M35)+MAX(0,Profiles!N35-'User Input'!$B$18)+0.5*MAX(0,'User Input'!$B$18-Profiles!N35)+MAX(0,Profiles!O35-'User Input'!$B$19)+0.5*MAX(0,'User Input'!$B$19-Profiles!O35)+MAX(0,Profiles!P35-'User Input'!$B$20)+0.5*MAX(0,'User Input'!$B$20-Profiles!P35)+MAX(0,Profiles!Q35-'User Input'!$B$21)+0.5*MAX(0,'User Input'!$B$21-Profiles!Q35)+MAX(0,Profiles!S35-'User Input'!$B$22)+0.5*MAX(0,'User Input'!$B$22-Profiles!S35)+MAX(0,Profiles!T35-'User Input'!$B$23)+0.5*MAX(0,'User Input'!$B$23-Profiles!T35)+MAX(0,Profiles!U35-'User Input'!$B$24)+0.5*MAX(0,'User Input'!$B$24-Profiles!U35))/40)</f>
        <v/>
      </c>
      <c r="J34" s="61">
        <f>ROUND(60*(E34+F34+G34+IFERROR(VALUE(H34),(E34+F34+G34)/3))/4 + 0.4*I34,1)</f>
        <v/>
      </c>
      <c r="K34" s="60">
        <f>IF(OR(AND('User Input'!$B$6="M",Profiles!$AG35="M"),AND('User Input'!$B$6="F",Profiles!$AG35="F")),1,0)</f>
        <v/>
      </c>
      <c r="L34" s="60">
        <f>IF('User Input'!$B$27="Either",(IF(Profiles!V35&gt;=4,1,0.3)+IF(OR(Profiles!V35&lt;=2,ISNUMBER(SEARCH("Individual",Profiles!D35))),1,0.3))/2,IF('User Input'!$B$27="Team",IF(Profiles!V35&gt;=4,1,0.3),IF(OR(Profiles!V35&lt;=2,ISNUMBER(SEARCH("Individual",Profiles!D35))),1,0.3)))</f>
        <v/>
      </c>
      <c r="M34" s="60">
        <f>IF(IFERROR(MATCH(Profiles!W35,{"None","Light","Medium","Heavy"},0)-1,0)&lt;=IFERROR(MATCH('User Input'!$B$28,{"None","Light","Medium","Heavy"},0)-1,3),1,MAX(0,1-0.4*(IFERROR(MATCH(Profiles!W35,{"None","Light","Medium","Heavy"},0)-1,0)-IFERROR(MATCH('User Input'!$B$28,{"None","Light","Medium","Heavy"},0)-1,3))))</f>
        <v/>
      </c>
      <c r="N34" s="60">
        <f>IF('User Input'!$B$29="neutral",1,IF('User Input'!$B$29="essential",IF(ISNUMBER(SEARCH("Outdoor",Profiles!X35)),1,0.3),IF('User Input'!$B$29="nice",IF(ISNUMBER(SEARCH("Outdoor",Profiles!X35)),1,0.65),IF('User Input'!$B$29="indoor",IF(ISNUMBER(SEARCH("Indoor",Profiles!X35)),1,0.4),1))))</f>
        <v/>
      </c>
      <c r="O34" s="60">
        <f>IF('User Input'!$B$30="Yes",1,IF(Profiles!Y35="Yes",0,1))</f>
        <v/>
      </c>
      <c r="P34" s="60">
        <f>IF(IFERROR(MATCH(Profiles!Z35,{"Low","Medium","High"},0),2)&lt;=IFERROR(MATCH('User Input'!$B$31,{"Low","Medium","High"},0),2),1,MAX(0,1-0.4*(IFERROR(MATCH(Profiles!Z35,{"Low","Medium","High"},0),2)-IFERROR(MATCH('User Input'!$B$31,{"Low","Medium","High"},0),2))))</f>
        <v/>
      </c>
      <c r="Q34" s="60">
        <f>IF('User Input'!$B$32="Yes",IF(ISNUMBER(Profiles!AC35),Profiles!AC35/10,0.5),1)</f>
        <v/>
      </c>
      <c r="R34" s="61">
        <f>IF(OR(K34=0,O34=0),0,ROUND(MIN(100,100*(K34*0.1+L34*0.2+M34*0.2+N34*0.1+P34*0.15+Q34*0.25)*W34*X34*Y34*Z34),1))</f>
        <v/>
      </c>
      <c r="S34" s="61">
        <f>IF(R34=0,0,ROUND(0.5*J34+0.5*R34,1))</f>
        <v/>
      </c>
      <c r="T34" s="36">
        <f>J34-ROW()/1000000</f>
        <v/>
      </c>
      <c r="U34" s="36">
        <f>R34-ROW()/1000000</f>
        <v/>
      </c>
      <c r="V34" s="36">
        <f>S34-ROW()/1000000</f>
        <v/>
      </c>
      <c r="W34" s="36">
        <f>IF(OR(AND(OR(Profiles!D35="Team field",Profiles!D35="Team field contact",Profiles!D35="Team field stick"),'User Input'!$B$34="Yes"),AND(OR(Profiles!D35="Team court",Profiles!D35="Team court contact"),'User Input'!$B$35="Yes"),AND(Profiles!D35="Individual racquet",'User Input'!$B$36="Yes"),AND(OR(Profiles!D35="Combat striking",Profiles!D35="Combat grappling",Profiles!D35="Combat mixed"),'User Input'!$B$37="Yes"),AND(OR(Profiles!D35="Team water contact",Profiles!D35="Individual water"),'User Input'!$B$38="Yes"),AND(OR(Profiles!D35="Endurance individual",Profiles!D35="Endurance individual / pair",Profiles!D35="Endurance individual / pursuit",Profiles!D35="Endurance team / pair",Profiles!D35="Endurance multi"),'User Input'!$B$39="Yes"),AND(OR(Profiles!D35="Strength individual",Profiles!D35="Power-throw individual"),'User Input'!$B$40="Yes"),AND(OR(Profiles!D35="Individual technical",Profiles!D35="Individual aesthetic",Profiles!D35="Team precision"),'User Input'!$B$41="Yes")),1.15,1)</f>
        <v/>
      </c>
      <c r="X34" s="36">
        <f>IF('User Input'!$B$33&lt;&gt;"none",1,IF(IFERROR(VALUE(TRIM(MID(SUBSTITUTE(SUBSTITUTE(Profiles!AA35,"–","-"),"-",REPT(" ",100)),100,100)))&lt;=14,FALSE),0.7,1))</f>
        <v/>
      </c>
      <c r="Y34" s="36">
        <f>IF(OR('User Input'!$B$42="under30",'User Input'!$B$42=""),1,IF('User Input'!$B$42="30to45",IF((IFERROR(MATCH(Profiles!W35,{"None","Light","Medium","Heavy"},0)-1,0)+IFERROR(MATCH(Profiles!AB35,{"Low","Medium","High"},0)-1,0))&gt;=5,0.85,1),IF('User Input'!$B$42="46to60",IF((IFERROR(MATCH(Profiles!W35,{"None","Light","Medium","Heavy"},0)-1,0)+IFERROR(MATCH(Profiles!AB35,{"Low","Medium","High"},0)-1,0))&gt;=5,0.65,IF((IFERROR(MATCH(Profiles!W35,{"None","Light","Medium","Heavy"},0)-1,0)+IFERROR(MATCH(Profiles!AB35,{"Low","Medium","High"},0)-1,0))&gt;=4,0.8,IF((IFERROR(MATCH(Profiles!W35,{"None","Light","Medium","Heavy"},0)-1,0)+IFERROR(MATCH(Profiles!AB35,{"Low","Medium","High"},0)-1,0))&gt;=3,0.9,1))),IF((IFERROR(MATCH(Profiles!W35,{"None","Light","Medium","Heavy"},0)-1,0)+IFERROR(MATCH(Profiles!AB35,{"Low","Medium","High"},0)-1,0))&gt;=5,0.4,IF((IFERROR(MATCH(Profiles!W35,{"None","Light","Medium","Heavy"},0)-1,0)+IFERROR(MATCH(Profiles!AB35,{"Low","Medium","High"},0)-1,0))&gt;=4,0.6,IF((IFERROR(MATCH(Profiles!W35,{"None","Light","Medium","Heavy"},0)-1,0)+IFERROR(MATCH(Profiles!AB35,{"Low","Medium","High"},0)-1,0))&gt;=3,0.75,IF((IFERROR(MATCH(Profiles!W35,{"None","Light","Medium","Heavy"},0)-1,0)+IFERROR(MATCH(Profiles!AB35,{"Low","Medium","High"},0)-1,0))&gt;=2,0.85,1)))))))</f>
        <v/>
      </c>
      <c r="Z34" s="36">
        <f>IF(OR('User Input'!$B$43="none",'User Input'!$B$43=""),1,IF('User Input'!$B$43="minor",IF(IFERROR(MATCH(Profiles!W35,{"None","Light","Medium","Heavy"},0)-1,0)&gt;=3,0.7,IF(IFERROR(MATCH(Profiles!W35,{"None","Light","Medium","Heavy"},0)-1,0)&gt;=2,0.85,1)),IF('User Input'!$B$43="joint",IF(OR(IFERROR(MATCH(Profiles!W35,{"None","Light","Medium","Heavy"},0)-1,0)&gt;=3,IFERROR(MATCH(Profiles!AB35,{"Low","Medium","High"},0)-1,0)&gt;=2),0.5,IF(OR(IFERROR(MATCH(Profiles!W35,{"None","Light","Medium","Heavy"},0)-1,0)&gt;=2,IFERROR(MATCH(Profiles!AB35,{"Low","Medium","High"},0)-1,0)&gt;=1),0.75,1)),IF(OR(IFERROR(MATCH(Profiles!W35,{"None","Light","Medium","Heavy"},0)-1,0)&gt;=2,IFERROR(MATCH(Profiles!AB35,{"Low","Medium","High"},0)-1,0)&gt;=2),0.3,IF(OR(IFERROR(MATCH(Profiles!W35,{"None","Light","Medium","Heavy"},0)-1,0)&gt;=1,IFERROR(MATCH(Profiles!AB35,{"Low","Medium","High"},0)-1,0)&gt;=1),0.6,0.9)))))</f>
        <v/>
      </c>
    </row>
    <row r="35" ht="15" customHeight="1" s="37">
      <c r="A35" s="59">
        <f>Profiles!A36</f>
        <v/>
      </c>
      <c r="B35" s="59">
        <f>Profiles!B36</f>
        <v/>
      </c>
      <c r="C35" s="59">
        <f>Profiles!C36</f>
        <v/>
      </c>
      <c r="D35" s="59">
        <f>Profiles!D36</f>
        <v/>
      </c>
      <c r="E35" s="60">
        <f>IF(ISNUMBER(Profiles!E36),IF(ISNUMBER(Profiles!F36),MAX(0,1-(MAX(0,ABS('User Input'!$B$9-Profiles!E36)-Profiles!F36))/Profiles!F36/3),MAX(0,1-ABS('User Input'!$B$9-Profiles!E36)/(Profiles!E36*0.1)/3)),0.5)</f>
        <v/>
      </c>
      <c r="F35" s="60">
        <f>IF(ISNUMBER(Profiles!G36),IF(ISNUMBER(Profiles!H36),MAX(0,1-(MAX(0,ABS('User Input'!$B$10-Profiles!G36)-Profiles!H36))/Profiles!H36/3),MAX(0,1-ABS('User Input'!$B$10-Profiles!G36)/(Profiles!G36*0.15)/3)),0.5)</f>
        <v/>
      </c>
      <c r="G35" s="60">
        <f>IF(ISNUMBER(Profiles!J36),MAX(0,1-ABS('User Input'!$B$12-Profiles!J36)/5/3),0.5)</f>
        <v/>
      </c>
      <c r="H35" s="60">
        <f>IF(ISNUMBER(Profiles!K36),MAX(0,1-ABS('User Input'!$B$14-Profiles!K36)/0.03/3),"n/a")</f>
        <v/>
      </c>
      <c r="I35" s="61">
        <f>100*MAX(0,1-(MAX(0,Profiles!M36-'User Input'!$B$17)+0.5*MAX(0,'User Input'!$B$17-Profiles!M36)+MAX(0,Profiles!N36-'User Input'!$B$18)+0.5*MAX(0,'User Input'!$B$18-Profiles!N36)+MAX(0,Profiles!O36-'User Input'!$B$19)+0.5*MAX(0,'User Input'!$B$19-Profiles!O36)+MAX(0,Profiles!P36-'User Input'!$B$20)+0.5*MAX(0,'User Input'!$B$20-Profiles!P36)+MAX(0,Profiles!Q36-'User Input'!$B$21)+0.5*MAX(0,'User Input'!$B$21-Profiles!Q36)+MAX(0,Profiles!S36-'User Input'!$B$22)+0.5*MAX(0,'User Input'!$B$22-Profiles!S36)+MAX(0,Profiles!T36-'User Input'!$B$23)+0.5*MAX(0,'User Input'!$B$23-Profiles!T36)+MAX(0,Profiles!U36-'User Input'!$B$24)+0.5*MAX(0,'User Input'!$B$24-Profiles!U36))/40)</f>
        <v/>
      </c>
      <c r="J35" s="61">
        <f>ROUND(60*(E35+F35+G35+IFERROR(VALUE(H35),(E35+F35+G35)/3))/4 + 0.4*I35,1)</f>
        <v/>
      </c>
      <c r="K35" s="60">
        <f>IF(OR(AND('User Input'!$B$6="M",Profiles!$AG36="M"),AND('User Input'!$B$6="F",Profiles!$AG36="F")),1,0)</f>
        <v/>
      </c>
      <c r="L35" s="60">
        <f>IF('User Input'!$B$27="Either",(IF(Profiles!V36&gt;=4,1,0.3)+IF(OR(Profiles!V36&lt;=2,ISNUMBER(SEARCH("Individual",Profiles!D36))),1,0.3))/2,IF('User Input'!$B$27="Team",IF(Profiles!V36&gt;=4,1,0.3),IF(OR(Profiles!V36&lt;=2,ISNUMBER(SEARCH("Individual",Profiles!D36))),1,0.3)))</f>
        <v/>
      </c>
      <c r="M35" s="60">
        <f>IF(IFERROR(MATCH(Profiles!W36,{"None","Light","Medium","Heavy"},0)-1,0)&lt;=IFERROR(MATCH('User Input'!$B$28,{"None","Light","Medium","Heavy"},0)-1,3),1,MAX(0,1-0.4*(IFERROR(MATCH(Profiles!W36,{"None","Light","Medium","Heavy"},0)-1,0)-IFERROR(MATCH('User Input'!$B$28,{"None","Light","Medium","Heavy"},0)-1,3))))</f>
        <v/>
      </c>
      <c r="N35" s="60">
        <f>IF('User Input'!$B$29="neutral",1,IF('User Input'!$B$29="essential",IF(ISNUMBER(SEARCH("Outdoor",Profiles!X36)),1,0.3),IF('User Input'!$B$29="nice",IF(ISNUMBER(SEARCH("Outdoor",Profiles!X36)),1,0.65),IF('User Input'!$B$29="indoor",IF(ISNUMBER(SEARCH("Indoor",Profiles!X36)),1,0.4),1))))</f>
        <v/>
      </c>
      <c r="O35" s="60">
        <f>IF('User Input'!$B$30="Yes",1,IF(Profiles!Y36="Yes",0,1))</f>
        <v/>
      </c>
      <c r="P35" s="60">
        <f>IF(IFERROR(MATCH(Profiles!Z36,{"Low","Medium","High"},0),2)&lt;=IFERROR(MATCH('User Input'!$B$31,{"Low","Medium","High"},0),2),1,MAX(0,1-0.4*(IFERROR(MATCH(Profiles!Z36,{"Low","Medium","High"},0),2)-IFERROR(MATCH('User Input'!$B$31,{"Low","Medium","High"},0),2))))</f>
        <v/>
      </c>
      <c r="Q35" s="60">
        <f>IF('User Input'!$B$32="Yes",IF(ISNUMBER(Profiles!AC36),Profiles!AC36/10,0.5),1)</f>
        <v/>
      </c>
      <c r="R35" s="61">
        <f>IF(OR(K35=0,O35=0),0,ROUND(MIN(100,100*(K35*0.1+L35*0.2+M35*0.2+N35*0.1+P35*0.15+Q35*0.25)*W35*X35*Y35*Z35),1))</f>
        <v/>
      </c>
      <c r="S35" s="61">
        <f>IF(R35=0,0,ROUND(0.5*J35+0.5*R35,1))</f>
        <v/>
      </c>
      <c r="T35" s="36">
        <f>J35-ROW()/1000000</f>
        <v/>
      </c>
      <c r="U35" s="36">
        <f>R35-ROW()/1000000</f>
        <v/>
      </c>
      <c r="V35" s="36">
        <f>S35-ROW()/1000000</f>
        <v/>
      </c>
      <c r="W35" s="36">
        <f>IF(OR(AND(OR(Profiles!D36="Team field",Profiles!D36="Team field contact",Profiles!D36="Team field stick"),'User Input'!$B$34="Yes"),AND(OR(Profiles!D36="Team court",Profiles!D36="Team court contact"),'User Input'!$B$35="Yes"),AND(Profiles!D36="Individual racquet",'User Input'!$B$36="Yes"),AND(OR(Profiles!D36="Combat striking",Profiles!D36="Combat grappling",Profiles!D36="Combat mixed"),'User Input'!$B$37="Yes"),AND(OR(Profiles!D36="Team water contact",Profiles!D36="Individual water"),'User Input'!$B$38="Yes"),AND(OR(Profiles!D36="Endurance individual",Profiles!D36="Endurance individual / pair",Profiles!D36="Endurance individual / pursuit",Profiles!D36="Endurance team / pair",Profiles!D36="Endurance multi"),'User Input'!$B$39="Yes"),AND(OR(Profiles!D36="Strength individual",Profiles!D36="Power-throw individual"),'User Input'!$B$40="Yes"),AND(OR(Profiles!D36="Individual technical",Profiles!D36="Individual aesthetic",Profiles!D36="Team precision"),'User Input'!$B$41="Yes")),1.15,1)</f>
        <v/>
      </c>
      <c r="X35" s="36">
        <f>IF('User Input'!$B$33&lt;&gt;"none",1,IF(IFERROR(VALUE(TRIM(MID(SUBSTITUTE(SUBSTITUTE(Profiles!AA36,"–","-"),"-",REPT(" ",100)),100,100)))&lt;=14,FALSE),0.7,1))</f>
        <v/>
      </c>
      <c r="Y35" s="36">
        <f>IF(OR('User Input'!$B$42="under30",'User Input'!$B$42=""),1,IF('User Input'!$B$42="30to45",IF((IFERROR(MATCH(Profiles!W36,{"None","Light","Medium","Heavy"},0)-1,0)+IFERROR(MATCH(Profiles!AB36,{"Low","Medium","High"},0)-1,0))&gt;=5,0.85,1),IF('User Input'!$B$42="46to60",IF((IFERROR(MATCH(Profiles!W36,{"None","Light","Medium","Heavy"},0)-1,0)+IFERROR(MATCH(Profiles!AB36,{"Low","Medium","High"},0)-1,0))&gt;=5,0.65,IF((IFERROR(MATCH(Profiles!W36,{"None","Light","Medium","Heavy"},0)-1,0)+IFERROR(MATCH(Profiles!AB36,{"Low","Medium","High"},0)-1,0))&gt;=4,0.8,IF((IFERROR(MATCH(Profiles!W36,{"None","Light","Medium","Heavy"},0)-1,0)+IFERROR(MATCH(Profiles!AB36,{"Low","Medium","High"},0)-1,0))&gt;=3,0.9,1))),IF((IFERROR(MATCH(Profiles!W36,{"None","Light","Medium","Heavy"},0)-1,0)+IFERROR(MATCH(Profiles!AB36,{"Low","Medium","High"},0)-1,0))&gt;=5,0.4,IF((IFERROR(MATCH(Profiles!W36,{"None","Light","Medium","Heavy"},0)-1,0)+IFERROR(MATCH(Profiles!AB36,{"Low","Medium","High"},0)-1,0))&gt;=4,0.6,IF((IFERROR(MATCH(Profiles!W36,{"None","Light","Medium","Heavy"},0)-1,0)+IFERROR(MATCH(Profiles!AB36,{"Low","Medium","High"},0)-1,0))&gt;=3,0.75,IF((IFERROR(MATCH(Profiles!W36,{"None","Light","Medium","Heavy"},0)-1,0)+IFERROR(MATCH(Profiles!AB36,{"Low","Medium","High"},0)-1,0))&gt;=2,0.85,1)))))))</f>
        <v/>
      </c>
      <c r="Z35" s="36">
        <f>IF(OR('User Input'!$B$43="none",'User Input'!$B$43=""),1,IF('User Input'!$B$43="minor",IF(IFERROR(MATCH(Profiles!W36,{"None","Light","Medium","Heavy"},0)-1,0)&gt;=3,0.7,IF(IFERROR(MATCH(Profiles!W36,{"None","Light","Medium","Heavy"},0)-1,0)&gt;=2,0.85,1)),IF('User Input'!$B$43="joint",IF(OR(IFERROR(MATCH(Profiles!W36,{"None","Light","Medium","Heavy"},0)-1,0)&gt;=3,IFERROR(MATCH(Profiles!AB36,{"Low","Medium","High"},0)-1,0)&gt;=2),0.5,IF(OR(IFERROR(MATCH(Profiles!W36,{"None","Light","Medium","Heavy"},0)-1,0)&gt;=2,IFERROR(MATCH(Profiles!AB36,{"Low","Medium","High"},0)-1,0)&gt;=1),0.75,1)),IF(OR(IFERROR(MATCH(Profiles!W36,{"None","Light","Medium","Heavy"},0)-1,0)&gt;=2,IFERROR(MATCH(Profiles!AB36,{"Low","Medium","High"},0)-1,0)&gt;=2),0.3,IF(OR(IFERROR(MATCH(Profiles!W36,{"None","Light","Medium","Heavy"},0)-1,0)&gt;=1,IFERROR(MATCH(Profiles!AB36,{"Low","Medium","High"},0)-1,0)&gt;=1),0.6,0.9)))))</f>
        <v/>
      </c>
    </row>
    <row r="36" ht="23.25" customHeight="1" s="37">
      <c r="A36" s="59">
        <f>Profiles!A37</f>
        <v/>
      </c>
      <c r="B36" s="59">
        <f>Profiles!B37</f>
        <v/>
      </c>
      <c r="C36" s="59">
        <f>Profiles!C37</f>
        <v/>
      </c>
      <c r="D36" s="59">
        <f>Profiles!D37</f>
        <v/>
      </c>
      <c r="E36" s="60">
        <f>IF(ISNUMBER(Profiles!E37),IF(ISNUMBER(Profiles!F37),MAX(0,1-(MAX(0,ABS('User Input'!$B$9-Profiles!E37)-Profiles!F37))/Profiles!F37/3),MAX(0,1-ABS('User Input'!$B$9-Profiles!E37)/(Profiles!E37*0.1)/3)),0.5)</f>
        <v/>
      </c>
      <c r="F36" s="60">
        <f>IF(ISNUMBER(Profiles!G37),IF(ISNUMBER(Profiles!H37),MAX(0,1-(MAX(0,ABS('User Input'!$B$10-Profiles!G37)-Profiles!H37))/Profiles!H37/3),MAX(0,1-ABS('User Input'!$B$10-Profiles!G37)/(Profiles!G37*0.15)/3)),0.5)</f>
        <v/>
      </c>
      <c r="G36" s="60">
        <f>IF(ISNUMBER(Profiles!J37),MAX(0,1-ABS('User Input'!$B$12-Profiles!J37)/5/3),0.5)</f>
        <v/>
      </c>
      <c r="H36" s="60">
        <f>IF(ISNUMBER(Profiles!K37),MAX(0,1-ABS('User Input'!$B$14-Profiles!K37)/0.03/3),"n/a")</f>
        <v/>
      </c>
      <c r="I36" s="61">
        <f>100*MAX(0,1-(MAX(0,Profiles!M37-'User Input'!$B$17)+0.5*MAX(0,'User Input'!$B$17-Profiles!M37)+MAX(0,Profiles!N37-'User Input'!$B$18)+0.5*MAX(0,'User Input'!$B$18-Profiles!N37)+MAX(0,Profiles!O37-'User Input'!$B$19)+0.5*MAX(0,'User Input'!$B$19-Profiles!O37)+MAX(0,Profiles!P37-'User Input'!$B$20)+0.5*MAX(0,'User Input'!$B$20-Profiles!P37)+MAX(0,Profiles!Q37-'User Input'!$B$21)+0.5*MAX(0,'User Input'!$B$21-Profiles!Q37)+MAX(0,Profiles!S37-'User Input'!$B$22)+0.5*MAX(0,'User Input'!$B$22-Profiles!S37)+MAX(0,Profiles!T37-'User Input'!$B$23)+0.5*MAX(0,'User Input'!$B$23-Profiles!T37)+MAX(0,Profiles!U37-'User Input'!$B$24)+0.5*MAX(0,'User Input'!$B$24-Profiles!U37))/40)</f>
        <v/>
      </c>
      <c r="J36" s="61">
        <f>ROUND(60*(E36+F36+G36+IFERROR(VALUE(H36),(E36+F36+G36)/3))/4 + 0.4*I36,1)</f>
        <v/>
      </c>
      <c r="K36" s="60">
        <f>IF(OR(AND('User Input'!$B$6="M",Profiles!$AG37="M"),AND('User Input'!$B$6="F",Profiles!$AG37="F")),1,0)</f>
        <v/>
      </c>
      <c r="L36" s="60">
        <f>IF('User Input'!$B$27="Either",(IF(Profiles!V37&gt;=4,1,0.3)+IF(OR(Profiles!V37&lt;=2,ISNUMBER(SEARCH("Individual",Profiles!D37))),1,0.3))/2,IF('User Input'!$B$27="Team",IF(Profiles!V37&gt;=4,1,0.3),IF(OR(Profiles!V37&lt;=2,ISNUMBER(SEARCH("Individual",Profiles!D37))),1,0.3)))</f>
        <v/>
      </c>
      <c r="M36" s="60">
        <f>IF(IFERROR(MATCH(Profiles!W37,{"None","Light","Medium","Heavy"},0)-1,0)&lt;=IFERROR(MATCH('User Input'!$B$28,{"None","Light","Medium","Heavy"},0)-1,3),1,MAX(0,1-0.4*(IFERROR(MATCH(Profiles!W37,{"None","Light","Medium","Heavy"},0)-1,0)-IFERROR(MATCH('User Input'!$B$28,{"None","Light","Medium","Heavy"},0)-1,3))))</f>
        <v/>
      </c>
      <c r="N36" s="60">
        <f>IF('User Input'!$B$29="neutral",1,IF('User Input'!$B$29="essential",IF(ISNUMBER(SEARCH("Outdoor",Profiles!X37)),1,0.3),IF('User Input'!$B$29="nice",IF(ISNUMBER(SEARCH("Outdoor",Profiles!X37)),1,0.65),IF('User Input'!$B$29="indoor",IF(ISNUMBER(SEARCH("Indoor",Profiles!X37)),1,0.4),1))))</f>
        <v/>
      </c>
      <c r="O36" s="60">
        <f>IF('User Input'!$B$30="Yes",1,IF(Profiles!Y37="Yes",0,1))</f>
        <v/>
      </c>
      <c r="P36" s="60">
        <f>IF(IFERROR(MATCH(Profiles!Z37,{"Low","Medium","High"},0),2)&lt;=IFERROR(MATCH('User Input'!$B$31,{"Low","Medium","High"},0),2),1,MAX(0,1-0.4*(IFERROR(MATCH(Profiles!Z37,{"Low","Medium","High"},0),2)-IFERROR(MATCH('User Input'!$B$31,{"Low","Medium","High"},0),2))))</f>
        <v/>
      </c>
      <c r="Q36" s="60">
        <f>IF('User Input'!$B$32="Yes",IF(ISNUMBER(Profiles!AC37),Profiles!AC37/10,0.5),1)</f>
        <v/>
      </c>
      <c r="R36" s="61">
        <f>IF(OR(K36=0,O36=0),0,ROUND(MIN(100,100*(K36*0.1+L36*0.2+M36*0.2+N36*0.1+P36*0.15+Q36*0.25)*W36*X36*Y36*Z36),1))</f>
        <v/>
      </c>
      <c r="S36" s="61">
        <f>IF(R36=0,0,ROUND(0.5*J36+0.5*R36,1))</f>
        <v/>
      </c>
      <c r="T36" s="36">
        <f>J36-ROW()/1000000</f>
        <v/>
      </c>
      <c r="U36" s="36">
        <f>R36-ROW()/1000000</f>
        <v/>
      </c>
      <c r="V36" s="36">
        <f>S36-ROW()/1000000</f>
        <v/>
      </c>
      <c r="W36" s="36">
        <f>IF(OR(AND(OR(Profiles!D37="Team field",Profiles!D37="Team field contact",Profiles!D37="Team field stick"),'User Input'!$B$34="Yes"),AND(OR(Profiles!D37="Team court",Profiles!D37="Team court contact"),'User Input'!$B$35="Yes"),AND(Profiles!D37="Individual racquet",'User Input'!$B$36="Yes"),AND(OR(Profiles!D37="Combat striking",Profiles!D37="Combat grappling",Profiles!D37="Combat mixed"),'User Input'!$B$37="Yes"),AND(OR(Profiles!D37="Team water contact",Profiles!D37="Individual water"),'User Input'!$B$38="Yes"),AND(OR(Profiles!D37="Endurance individual",Profiles!D37="Endurance individual / pair",Profiles!D37="Endurance individual / pursuit",Profiles!D37="Endurance team / pair",Profiles!D37="Endurance multi"),'User Input'!$B$39="Yes"),AND(OR(Profiles!D37="Strength individual",Profiles!D37="Power-throw individual"),'User Input'!$B$40="Yes"),AND(OR(Profiles!D37="Individual technical",Profiles!D37="Individual aesthetic",Profiles!D37="Team precision"),'User Input'!$B$41="Yes")),1.15,1)</f>
        <v/>
      </c>
      <c r="X36" s="36">
        <f>IF('User Input'!$B$33&lt;&gt;"none",1,IF(IFERROR(VALUE(TRIM(MID(SUBSTITUTE(SUBSTITUTE(Profiles!AA37,"–","-"),"-",REPT(" ",100)),100,100)))&lt;=14,FALSE),0.7,1))</f>
        <v/>
      </c>
      <c r="Y36" s="36">
        <f>IF(OR('User Input'!$B$42="under30",'User Input'!$B$42=""),1,IF('User Input'!$B$42="30to45",IF((IFERROR(MATCH(Profiles!W37,{"None","Light","Medium","Heavy"},0)-1,0)+IFERROR(MATCH(Profiles!AB37,{"Low","Medium","High"},0)-1,0))&gt;=5,0.85,1),IF('User Input'!$B$42="46to60",IF((IFERROR(MATCH(Profiles!W37,{"None","Light","Medium","Heavy"},0)-1,0)+IFERROR(MATCH(Profiles!AB37,{"Low","Medium","High"},0)-1,0))&gt;=5,0.65,IF((IFERROR(MATCH(Profiles!W37,{"None","Light","Medium","Heavy"},0)-1,0)+IFERROR(MATCH(Profiles!AB37,{"Low","Medium","High"},0)-1,0))&gt;=4,0.8,IF((IFERROR(MATCH(Profiles!W37,{"None","Light","Medium","Heavy"},0)-1,0)+IFERROR(MATCH(Profiles!AB37,{"Low","Medium","High"},0)-1,0))&gt;=3,0.9,1))),IF((IFERROR(MATCH(Profiles!W37,{"None","Light","Medium","Heavy"},0)-1,0)+IFERROR(MATCH(Profiles!AB37,{"Low","Medium","High"},0)-1,0))&gt;=5,0.4,IF((IFERROR(MATCH(Profiles!W37,{"None","Light","Medium","Heavy"},0)-1,0)+IFERROR(MATCH(Profiles!AB37,{"Low","Medium","High"},0)-1,0))&gt;=4,0.6,IF((IFERROR(MATCH(Profiles!W37,{"None","Light","Medium","Heavy"},0)-1,0)+IFERROR(MATCH(Profiles!AB37,{"Low","Medium","High"},0)-1,0))&gt;=3,0.75,IF((IFERROR(MATCH(Profiles!W37,{"None","Light","Medium","Heavy"},0)-1,0)+IFERROR(MATCH(Profiles!AB37,{"Low","Medium","High"},0)-1,0))&gt;=2,0.85,1)))))))</f>
        <v/>
      </c>
      <c r="Z36" s="36">
        <f>IF(OR('User Input'!$B$43="none",'User Input'!$B$43=""),1,IF('User Input'!$B$43="minor",IF(IFERROR(MATCH(Profiles!W37,{"None","Light","Medium","Heavy"},0)-1,0)&gt;=3,0.7,IF(IFERROR(MATCH(Profiles!W37,{"None","Light","Medium","Heavy"},0)-1,0)&gt;=2,0.85,1)),IF('User Input'!$B$43="joint",IF(OR(IFERROR(MATCH(Profiles!W37,{"None","Light","Medium","Heavy"},0)-1,0)&gt;=3,IFERROR(MATCH(Profiles!AB37,{"Low","Medium","High"},0)-1,0)&gt;=2),0.5,IF(OR(IFERROR(MATCH(Profiles!W37,{"None","Light","Medium","Heavy"},0)-1,0)&gt;=2,IFERROR(MATCH(Profiles!AB37,{"Low","Medium","High"},0)-1,0)&gt;=1),0.75,1)),IF(OR(IFERROR(MATCH(Profiles!W37,{"None","Light","Medium","Heavy"},0)-1,0)&gt;=2,IFERROR(MATCH(Profiles!AB37,{"Low","Medium","High"},0)-1,0)&gt;=2),0.3,IF(OR(IFERROR(MATCH(Profiles!W37,{"None","Light","Medium","Heavy"},0)-1,0)&gt;=1,IFERROR(MATCH(Profiles!AB37,{"Low","Medium","High"},0)-1,0)&gt;=1),0.6,0.9)))))</f>
        <v/>
      </c>
    </row>
    <row r="37" ht="23.25" customHeight="1" s="37">
      <c r="A37" s="59">
        <f>Profiles!A38</f>
        <v/>
      </c>
      <c r="B37" s="59">
        <f>Profiles!B38</f>
        <v/>
      </c>
      <c r="C37" s="59">
        <f>Profiles!C38</f>
        <v/>
      </c>
      <c r="D37" s="59">
        <f>Profiles!D38</f>
        <v/>
      </c>
      <c r="E37" s="60">
        <f>IF(ISNUMBER(Profiles!E38),IF(ISNUMBER(Profiles!F38),MAX(0,1-(MAX(0,ABS('User Input'!$B$9-Profiles!E38)-Profiles!F38))/Profiles!F38/3),MAX(0,1-ABS('User Input'!$B$9-Profiles!E38)/(Profiles!E38*0.1)/3)),0.5)</f>
        <v/>
      </c>
      <c r="F37" s="60">
        <f>IF(ISNUMBER(Profiles!G38),IF(ISNUMBER(Profiles!H38),MAX(0,1-(MAX(0,ABS('User Input'!$B$10-Profiles!G38)-Profiles!H38))/Profiles!H38/3),MAX(0,1-ABS('User Input'!$B$10-Profiles!G38)/(Profiles!G38*0.15)/3)),0.5)</f>
        <v/>
      </c>
      <c r="G37" s="60">
        <f>IF(ISNUMBER(Profiles!J38),MAX(0,1-ABS('User Input'!$B$12-Profiles!J38)/5/3),0.5)</f>
        <v/>
      </c>
      <c r="H37" s="60">
        <f>IF(ISNUMBER(Profiles!K38),MAX(0,1-ABS('User Input'!$B$14-Profiles!K38)/0.03/3),"n/a")</f>
        <v/>
      </c>
      <c r="I37" s="61">
        <f>100*MAX(0,1-(MAX(0,Profiles!M38-'User Input'!$B$17)+0.5*MAX(0,'User Input'!$B$17-Profiles!M38)+MAX(0,Profiles!N38-'User Input'!$B$18)+0.5*MAX(0,'User Input'!$B$18-Profiles!N38)+MAX(0,Profiles!O38-'User Input'!$B$19)+0.5*MAX(0,'User Input'!$B$19-Profiles!O38)+MAX(0,Profiles!P38-'User Input'!$B$20)+0.5*MAX(0,'User Input'!$B$20-Profiles!P38)+MAX(0,Profiles!Q38-'User Input'!$B$21)+0.5*MAX(0,'User Input'!$B$21-Profiles!Q38)+MAX(0,Profiles!S38-'User Input'!$B$22)+0.5*MAX(0,'User Input'!$B$22-Profiles!S38)+MAX(0,Profiles!T38-'User Input'!$B$23)+0.5*MAX(0,'User Input'!$B$23-Profiles!T38)+MAX(0,Profiles!U38-'User Input'!$B$24)+0.5*MAX(0,'User Input'!$B$24-Profiles!U38))/40)</f>
        <v/>
      </c>
      <c r="J37" s="61">
        <f>ROUND(60*(E37+F37+G37+IFERROR(VALUE(H37),(E37+F37+G37)/3))/4 + 0.4*I37,1)</f>
        <v/>
      </c>
      <c r="K37" s="60">
        <f>IF(OR(AND('User Input'!$B$6="M",Profiles!$AG38="M"),AND('User Input'!$B$6="F",Profiles!$AG38="F")),1,0)</f>
        <v/>
      </c>
      <c r="L37" s="60">
        <f>IF('User Input'!$B$27="Either",(IF(Profiles!V38&gt;=4,1,0.3)+IF(OR(Profiles!V38&lt;=2,ISNUMBER(SEARCH("Individual",Profiles!D38))),1,0.3))/2,IF('User Input'!$B$27="Team",IF(Profiles!V38&gt;=4,1,0.3),IF(OR(Profiles!V38&lt;=2,ISNUMBER(SEARCH("Individual",Profiles!D38))),1,0.3)))</f>
        <v/>
      </c>
      <c r="M37" s="60">
        <f>IF(IFERROR(MATCH(Profiles!W38,{"None","Light","Medium","Heavy"},0)-1,0)&lt;=IFERROR(MATCH('User Input'!$B$28,{"None","Light","Medium","Heavy"},0)-1,3),1,MAX(0,1-0.4*(IFERROR(MATCH(Profiles!W38,{"None","Light","Medium","Heavy"},0)-1,0)-IFERROR(MATCH('User Input'!$B$28,{"None","Light","Medium","Heavy"},0)-1,3))))</f>
        <v/>
      </c>
      <c r="N37" s="60">
        <f>IF('User Input'!$B$29="neutral",1,IF('User Input'!$B$29="essential",IF(ISNUMBER(SEARCH("Outdoor",Profiles!X38)),1,0.3),IF('User Input'!$B$29="nice",IF(ISNUMBER(SEARCH("Outdoor",Profiles!X38)),1,0.65),IF('User Input'!$B$29="indoor",IF(ISNUMBER(SEARCH("Indoor",Profiles!X38)),1,0.4),1))))</f>
        <v/>
      </c>
      <c r="O37" s="60">
        <f>IF('User Input'!$B$30="Yes",1,IF(Profiles!Y38="Yes",0,1))</f>
        <v/>
      </c>
      <c r="P37" s="60">
        <f>IF(IFERROR(MATCH(Profiles!Z38,{"Low","Medium","High"},0),2)&lt;=IFERROR(MATCH('User Input'!$B$31,{"Low","Medium","High"},0),2),1,MAX(0,1-0.4*(IFERROR(MATCH(Profiles!Z38,{"Low","Medium","High"},0),2)-IFERROR(MATCH('User Input'!$B$31,{"Low","Medium","High"},0),2))))</f>
        <v/>
      </c>
      <c r="Q37" s="60">
        <f>IF('User Input'!$B$32="Yes",IF(ISNUMBER(Profiles!AC38),Profiles!AC38/10,0.5),1)</f>
        <v/>
      </c>
      <c r="R37" s="61">
        <f>IF(OR(K37=0,O37=0),0,ROUND(MIN(100,100*(K37*0.1+L37*0.2+M37*0.2+N37*0.1+P37*0.15+Q37*0.25)*W37*X37*Y37*Z37),1))</f>
        <v/>
      </c>
      <c r="S37" s="61">
        <f>IF(R37=0,0,ROUND(0.5*J37+0.5*R37,1))</f>
        <v/>
      </c>
      <c r="T37" s="36">
        <f>J37-ROW()/1000000</f>
        <v/>
      </c>
      <c r="U37" s="36">
        <f>R37-ROW()/1000000</f>
        <v/>
      </c>
      <c r="V37" s="36">
        <f>S37-ROW()/1000000</f>
        <v/>
      </c>
      <c r="W37" s="36">
        <f>IF(OR(AND(OR(Profiles!D38="Team field",Profiles!D38="Team field contact",Profiles!D38="Team field stick"),'User Input'!$B$34="Yes"),AND(OR(Profiles!D38="Team court",Profiles!D38="Team court contact"),'User Input'!$B$35="Yes"),AND(Profiles!D38="Individual racquet",'User Input'!$B$36="Yes"),AND(OR(Profiles!D38="Combat striking",Profiles!D38="Combat grappling",Profiles!D38="Combat mixed"),'User Input'!$B$37="Yes"),AND(OR(Profiles!D38="Team water contact",Profiles!D38="Individual water"),'User Input'!$B$38="Yes"),AND(OR(Profiles!D38="Endurance individual",Profiles!D38="Endurance individual / pair",Profiles!D38="Endurance individual / pursuit",Profiles!D38="Endurance team / pair",Profiles!D38="Endurance multi"),'User Input'!$B$39="Yes"),AND(OR(Profiles!D38="Strength individual",Profiles!D38="Power-throw individual"),'User Input'!$B$40="Yes"),AND(OR(Profiles!D38="Individual technical",Profiles!D38="Individual aesthetic",Profiles!D38="Team precision"),'User Input'!$B$41="Yes")),1.15,1)</f>
        <v/>
      </c>
      <c r="X37" s="36">
        <f>IF('User Input'!$B$33&lt;&gt;"none",1,IF(IFERROR(VALUE(TRIM(MID(SUBSTITUTE(SUBSTITUTE(Profiles!AA38,"–","-"),"-",REPT(" ",100)),100,100)))&lt;=14,FALSE),0.7,1))</f>
        <v/>
      </c>
      <c r="Y37" s="36">
        <f>IF(OR('User Input'!$B$42="under30",'User Input'!$B$42=""),1,IF('User Input'!$B$42="30to45",IF((IFERROR(MATCH(Profiles!W38,{"None","Light","Medium","Heavy"},0)-1,0)+IFERROR(MATCH(Profiles!AB38,{"Low","Medium","High"},0)-1,0))&gt;=5,0.85,1),IF('User Input'!$B$42="46to60",IF((IFERROR(MATCH(Profiles!W38,{"None","Light","Medium","Heavy"},0)-1,0)+IFERROR(MATCH(Profiles!AB38,{"Low","Medium","High"},0)-1,0))&gt;=5,0.65,IF((IFERROR(MATCH(Profiles!W38,{"None","Light","Medium","Heavy"},0)-1,0)+IFERROR(MATCH(Profiles!AB38,{"Low","Medium","High"},0)-1,0))&gt;=4,0.8,IF((IFERROR(MATCH(Profiles!W38,{"None","Light","Medium","Heavy"},0)-1,0)+IFERROR(MATCH(Profiles!AB38,{"Low","Medium","High"},0)-1,0))&gt;=3,0.9,1))),IF((IFERROR(MATCH(Profiles!W38,{"None","Light","Medium","Heavy"},0)-1,0)+IFERROR(MATCH(Profiles!AB38,{"Low","Medium","High"},0)-1,0))&gt;=5,0.4,IF((IFERROR(MATCH(Profiles!W38,{"None","Light","Medium","Heavy"},0)-1,0)+IFERROR(MATCH(Profiles!AB38,{"Low","Medium","High"},0)-1,0))&gt;=4,0.6,IF((IFERROR(MATCH(Profiles!W38,{"None","Light","Medium","Heavy"},0)-1,0)+IFERROR(MATCH(Profiles!AB38,{"Low","Medium","High"},0)-1,0))&gt;=3,0.75,IF((IFERROR(MATCH(Profiles!W38,{"None","Light","Medium","Heavy"},0)-1,0)+IFERROR(MATCH(Profiles!AB38,{"Low","Medium","High"},0)-1,0))&gt;=2,0.85,1)))))))</f>
        <v/>
      </c>
      <c r="Z37" s="36">
        <f>IF(OR('User Input'!$B$43="none",'User Input'!$B$43=""),1,IF('User Input'!$B$43="minor",IF(IFERROR(MATCH(Profiles!W38,{"None","Light","Medium","Heavy"},0)-1,0)&gt;=3,0.7,IF(IFERROR(MATCH(Profiles!W38,{"None","Light","Medium","Heavy"},0)-1,0)&gt;=2,0.85,1)),IF('User Input'!$B$43="joint",IF(OR(IFERROR(MATCH(Profiles!W38,{"None","Light","Medium","Heavy"},0)-1,0)&gt;=3,IFERROR(MATCH(Profiles!AB38,{"Low","Medium","High"},0)-1,0)&gt;=2),0.5,IF(OR(IFERROR(MATCH(Profiles!W38,{"None","Light","Medium","Heavy"},0)-1,0)&gt;=2,IFERROR(MATCH(Profiles!AB38,{"Low","Medium","High"},0)-1,0)&gt;=1),0.75,1)),IF(OR(IFERROR(MATCH(Profiles!W38,{"None","Light","Medium","Heavy"},0)-1,0)&gt;=2,IFERROR(MATCH(Profiles!AB38,{"Low","Medium","High"},0)-1,0)&gt;=2),0.3,IF(OR(IFERROR(MATCH(Profiles!W38,{"None","Light","Medium","Heavy"},0)-1,0)&gt;=1,IFERROR(MATCH(Profiles!AB38,{"Low","Medium","High"},0)-1,0)&gt;=1),0.6,0.9)))))</f>
        <v/>
      </c>
    </row>
    <row r="38" ht="23.25" customHeight="1" s="37">
      <c r="A38" s="59">
        <f>Profiles!A39</f>
        <v/>
      </c>
      <c r="B38" s="59">
        <f>Profiles!B39</f>
        <v/>
      </c>
      <c r="C38" s="59">
        <f>Profiles!C39</f>
        <v/>
      </c>
      <c r="D38" s="59">
        <f>Profiles!D39</f>
        <v/>
      </c>
      <c r="E38" s="60">
        <f>IF(ISNUMBER(Profiles!E39),IF(ISNUMBER(Profiles!F39),MAX(0,1-(MAX(0,ABS('User Input'!$B$9-Profiles!E39)-Profiles!F39))/Profiles!F39/3),MAX(0,1-ABS('User Input'!$B$9-Profiles!E39)/(Profiles!E39*0.1)/3)),0.5)</f>
        <v/>
      </c>
      <c r="F38" s="60">
        <f>IF(ISNUMBER(Profiles!G39),IF(ISNUMBER(Profiles!H39),MAX(0,1-(MAX(0,ABS('User Input'!$B$10-Profiles!G39)-Profiles!H39))/Profiles!H39/3),MAX(0,1-ABS('User Input'!$B$10-Profiles!G39)/(Profiles!G39*0.15)/3)),0.5)</f>
        <v/>
      </c>
      <c r="G38" s="60">
        <f>IF(ISNUMBER(Profiles!J39),MAX(0,1-ABS('User Input'!$B$12-Profiles!J39)/5/3),0.5)</f>
        <v/>
      </c>
      <c r="H38" s="60">
        <f>IF(ISNUMBER(Profiles!K39),MAX(0,1-ABS('User Input'!$B$14-Profiles!K39)/0.03/3),"n/a")</f>
        <v/>
      </c>
      <c r="I38" s="61">
        <f>100*MAX(0,1-(MAX(0,Profiles!M39-'User Input'!$B$17)+0.5*MAX(0,'User Input'!$B$17-Profiles!M39)+MAX(0,Profiles!N39-'User Input'!$B$18)+0.5*MAX(0,'User Input'!$B$18-Profiles!N39)+MAX(0,Profiles!O39-'User Input'!$B$19)+0.5*MAX(0,'User Input'!$B$19-Profiles!O39)+MAX(0,Profiles!P39-'User Input'!$B$20)+0.5*MAX(0,'User Input'!$B$20-Profiles!P39)+MAX(0,Profiles!Q39-'User Input'!$B$21)+0.5*MAX(0,'User Input'!$B$21-Profiles!Q39)+MAX(0,Profiles!S39-'User Input'!$B$22)+0.5*MAX(0,'User Input'!$B$22-Profiles!S39)+MAX(0,Profiles!T39-'User Input'!$B$23)+0.5*MAX(0,'User Input'!$B$23-Profiles!T39)+MAX(0,Profiles!U39-'User Input'!$B$24)+0.5*MAX(0,'User Input'!$B$24-Profiles!U39))/40)</f>
        <v/>
      </c>
      <c r="J38" s="61">
        <f>ROUND(60*(E38+F38+G38+IFERROR(VALUE(H38),(E38+F38+G38)/3))/4 + 0.4*I38,1)</f>
        <v/>
      </c>
      <c r="K38" s="60">
        <f>IF(OR(AND('User Input'!$B$6="M",Profiles!$AG39="M"),AND('User Input'!$B$6="F",Profiles!$AG39="F")),1,0)</f>
        <v/>
      </c>
      <c r="L38" s="60">
        <f>IF('User Input'!$B$27="Either",(IF(Profiles!V39&gt;=4,1,0.3)+IF(OR(Profiles!V39&lt;=2,ISNUMBER(SEARCH("Individual",Profiles!D39))),1,0.3))/2,IF('User Input'!$B$27="Team",IF(Profiles!V39&gt;=4,1,0.3),IF(OR(Profiles!V39&lt;=2,ISNUMBER(SEARCH("Individual",Profiles!D39))),1,0.3)))</f>
        <v/>
      </c>
      <c r="M38" s="60">
        <f>IF(IFERROR(MATCH(Profiles!W39,{"None","Light","Medium","Heavy"},0)-1,0)&lt;=IFERROR(MATCH('User Input'!$B$28,{"None","Light","Medium","Heavy"},0)-1,3),1,MAX(0,1-0.4*(IFERROR(MATCH(Profiles!W39,{"None","Light","Medium","Heavy"},0)-1,0)-IFERROR(MATCH('User Input'!$B$28,{"None","Light","Medium","Heavy"},0)-1,3))))</f>
        <v/>
      </c>
      <c r="N38" s="60">
        <f>IF('User Input'!$B$29="neutral",1,IF('User Input'!$B$29="essential",IF(ISNUMBER(SEARCH("Outdoor",Profiles!X39)),1,0.3),IF('User Input'!$B$29="nice",IF(ISNUMBER(SEARCH("Outdoor",Profiles!X39)),1,0.65),IF('User Input'!$B$29="indoor",IF(ISNUMBER(SEARCH("Indoor",Profiles!X39)),1,0.4),1))))</f>
        <v/>
      </c>
      <c r="O38" s="60">
        <f>IF('User Input'!$B$30="Yes",1,IF(Profiles!Y39="Yes",0,1))</f>
        <v/>
      </c>
      <c r="P38" s="60">
        <f>IF(IFERROR(MATCH(Profiles!Z39,{"Low","Medium","High"},0),2)&lt;=IFERROR(MATCH('User Input'!$B$31,{"Low","Medium","High"},0),2),1,MAX(0,1-0.4*(IFERROR(MATCH(Profiles!Z39,{"Low","Medium","High"},0),2)-IFERROR(MATCH('User Input'!$B$31,{"Low","Medium","High"},0),2))))</f>
        <v/>
      </c>
      <c r="Q38" s="60">
        <f>IF('User Input'!$B$32="Yes",IF(ISNUMBER(Profiles!AC39),Profiles!AC39/10,0.5),1)</f>
        <v/>
      </c>
      <c r="R38" s="61">
        <f>IF(OR(K38=0,O38=0),0,ROUND(MIN(100,100*(K38*0.1+L38*0.2+M38*0.2+N38*0.1+P38*0.15+Q38*0.25)*W38*X38*Y38*Z38),1))</f>
        <v/>
      </c>
      <c r="S38" s="61">
        <f>IF(R38=0,0,ROUND(0.5*J38+0.5*R38,1))</f>
        <v/>
      </c>
      <c r="T38" s="36">
        <f>J38-ROW()/1000000</f>
        <v/>
      </c>
      <c r="U38" s="36">
        <f>R38-ROW()/1000000</f>
        <v/>
      </c>
      <c r="V38" s="36">
        <f>S38-ROW()/1000000</f>
        <v/>
      </c>
      <c r="W38" s="36">
        <f>IF(OR(AND(OR(Profiles!D39="Team field",Profiles!D39="Team field contact",Profiles!D39="Team field stick"),'User Input'!$B$34="Yes"),AND(OR(Profiles!D39="Team court",Profiles!D39="Team court contact"),'User Input'!$B$35="Yes"),AND(Profiles!D39="Individual racquet",'User Input'!$B$36="Yes"),AND(OR(Profiles!D39="Combat striking",Profiles!D39="Combat grappling",Profiles!D39="Combat mixed"),'User Input'!$B$37="Yes"),AND(OR(Profiles!D39="Team water contact",Profiles!D39="Individual water"),'User Input'!$B$38="Yes"),AND(OR(Profiles!D39="Endurance individual",Profiles!D39="Endurance individual / pair",Profiles!D39="Endurance individual / pursuit",Profiles!D39="Endurance team / pair",Profiles!D39="Endurance multi"),'User Input'!$B$39="Yes"),AND(OR(Profiles!D39="Strength individual",Profiles!D39="Power-throw individual"),'User Input'!$B$40="Yes"),AND(OR(Profiles!D39="Individual technical",Profiles!D39="Individual aesthetic",Profiles!D39="Team precision"),'User Input'!$B$41="Yes")),1.15,1)</f>
        <v/>
      </c>
      <c r="X38" s="36">
        <f>IF('User Input'!$B$33&lt;&gt;"none",1,IF(IFERROR(VALUE(TRIM(MID(SUBSTITUTE(SUBSTITUTE(Profiles!AA39,"–","-"),"-",REPT(" ",100)),100,100)))&lt;=14,FALSE),0.7,1))</f>
        <v/>
      </c>
      <c r="Y38" s="36">
        <f>IF(OR('User Input'!$B$42="under30",'User Input'!$B$42=""),1,IF('User Input'!$B$42="30to45",IF((IFERROR(MATCH(Profiles!W39,{"None","Light","Medium","Heavy"},0)-1,0)+IFERROR(MATCH(Profiles!AB39,{"Low","Medium","High"},0)-1,0))&gt;=5,0.85,1),IF('User Input'!$B$42="46to60",IF((IFERROR(MATCH(Profiles!W39,{"None","Light","Medium","Heavy"},0)-1,0)+IFERROR(MATCH(Profiles!AB39,{"Low","Medium","High"},0)-1,0))&gt;=5,0.65,IF((IFERROR(MATCH(Profiles!W39,{"None","Light","Medium","Heavy"},0)-1,0)+IFERROR(MATCH(Profiles!AB39,{"Low","Medium","High"},0)-1,0))&gt;=4,0.8,IF((IFERROR(MATCH(Profiles!W39,{"None","Light","Medium","Heavy"},0)-1,0)+IFERROR(MATCH(Profiles!AB39,{"Low","Medium","High"},0)-1,0))&gt;=3,0.9,1))),IF((IFERROR(MATCH(Profiles!W39,{"None","Light","Medium","Heavy"},0)-1,0)+IFERROR(MATCH(Profiles!AB39,{"Low","Medium","High"},0)-1,0))&gt;=5,0.4,IF((IFERROR(MATCH(Profiles!W39,{"None","Light","Medium","Heavy"},0)-1,0)+IFERROR(MATCH(Profiles!AB39,{"Low","Medium","High"},0)-1,0))&gt;=4,0.6,IF((IFERROR(MATCH(Profiles!W39,{"None","Light","Medium","Heavy"},0)-1,0)+IFERROR(MATCH(Profiles!AB39,{"Low","Medium","High"},0)-1,0))&gt;=3,0.75,IF((IFERROR(MATCH(Profiles!W39,{"None","Light","Medium","Heavy"},0)-1,0)+IFERROR(MATCH(Profiles!AB39,{"Low","Medium","High"},0)-1,0))&gt;=2,0.85,1)))))))</f>
        <v/>
      </c>
      <c r="Z38" s="36">
        <f>IF(OR('User Input'!$B$43="none",'User Input'!$B$43=""),1,IF('User Input'!$B$43="minor",IF(IFERROR(MATCH(Profiles!W39,{"None","Light","Medium","Heavy"},0)-1,0)&gt;=3,0.7,IF(IFERROR(MATCH(Profiles!W39,{"None","Light","Medium","Heavy"},0)-1,0)&gt;=2,0.85,1)),IF('User Input'!$B$43="joint",IF(OR(IFERROR(MATCH(Profiles!W39,{"None","Light","Medium","Heavy"},0)-1,0)&gt;=3,IFERROR(MATCH(Profiles!AB39,{"Low","Medium","High"},0)-1,0)&gt;=2),0.5,IF(OR(IFERROR(MATCH(Profiles!W39,{"None","Light","Medium","Heavy"},0)-1,0)&gt;=2,IFERROR(MATCH(Profiles!AB39,{"Low","Medium","High"},0)-1,0)&gt;=1),0.75,1)),IF(OR(IFERROR(MATCH(Profiles!W39,{"None","Light","Medium","Heavy"},0)-1,0)&gt;=2,IFERROR(MATCH(Profiles!AB39,{"Low","Medium","High"},0)-1,0)&gt;=2),0.3,IF(OR(IFERROR(MATCH(Profiles!W39,{"None","Light","Medium","Heavy"},0)-1,0)&gt;=1,IFERROR(MATCH(Profiles!AB39,{"Low","Medium","High"},0)-1,0)&gt;=1),0.6,0.9)))))</f>
        <v/>
      </c>
    </row>
    <row r="39" ht="23.25" customHeight="1" s="37">
      <c r="A39" s="59">
        <f>Profiles!A40</f>
        <v/>
      </c>
      <c r="B39" s="59">
        <f>Profiles!B40</f>
        <v/>
      </c>
      <c r="C39" s="59">
        <f>Profiles!C40</f>
        <v/>
      </c>
      <c r="D39" s="59">
        <f>Profiles!D40</f>
        <v/>
      </c>
      <c r="E39" s="60">
        <f>IF(ISNUMBER(Profiles!E40),IF(ISNUMBER(Profiles!F40),MAX(0,1-(MAX(0,ABS('User Input'!$B$9-Profiles!E40)-Profiles!F40))/Profiles!F40/3),MAX(0,1-ABS('User Input'!$B$9-Profiles!E40)/(Profiles!E40*0.1)/3)),0.5)</f>
        <v/>
      </c>
      <c r="F39" s="60">
        <f>IF(ISNUMBER(Profiles!G40),IF(ISNUMBER(Profiles!H40),MAX(0,1-(MAX(0,ABS('User Input'!$B$10-Profiles!G40)-Profiles!H40))/Profiles!H40/3),MAX(0,1-ABS('User Input'!$B$10-Profiles!G40)/(Profiles!G40*0.15)/3)),0.5)</f>
        <v/>
      </c>
      <c r="G39" s="60">
        <f>IF(ISNUMBER(Profiles!J40),MAX(0,1-ABS('User Input'!$B$12-Profiles!J40)/5/3),0.5)</f>
        <v/>
      </c>
      <c r="H39" s="60">
        <f>IF(ISNUMBER(Profiles!K40),MAX(0,1-ABS('User Input'!$B$14-Profiles!K40)/0.03/3),"n/a")</f>
        <v/>
      </c>
      <c r="I39" s="61">
        <f>100*MAX(0,1-(MAX(0,Profiles!M40-'User Input'!$B$17)+0.5*MAX(0,'User Input'!$B$17-Profiles!M40)+MAX(0,Profiles!N40-'User Input'!$B$18)+0.5*MAX(0,'User Input'!$B$18-Profiles!N40)+MAX(0,Profiles!O40-'User Input'!$B$19)+0.5*MAX(0,'User Input'!$B$19-Profiles!O40)+MAX(0,Profiles!P40-'User Input'!$B$20)+0.5*MAX(0,'User Input'!$B$20-Profiles!P40)+MAX(0,Profiles!Q40-'User Input'!$B$21)+0.5*MAX(0,'User Input'!$B$21-Profiles!Q40)+MAX(0,Profiles!S40-'User Input'!$B$22)+0.5*MAX(0,'User Input'!$B$22-Profiles!S40)+MAX(0,Profiles!T40-'User Input'!$B$23)+0.5*MAX(0,'User Input'!$B$23-Profiles!T40)+MAX(0,Profiles!U40-'User Input'!$B$24)+0.5*MAX(0,'User Input'!$B$24-Profiles!U40))/40)</f>
        <v/>
      </c>
      <c r="J39" s="61">
        <f>ROUND(60*(E39+F39+G39+IFERROR(VALUE(H39),(E39+F39+G39)/3))/4 + 0.4*I39,1)</f>
        <v/>
      </c>
      <c r="K39" s="60">
        <f>IF(OR(AND('User Input'!$B$6="M",Profiles!$AG40="M"),AND('User Input'!$B$6="F",Profiles!$AG40="F")),1,0)</f>
        <v/>
      </c>
      <c r="L39" s="60">
        <f>IF('User Input'!$B$27="Either",(IF(Profiles!V40&gt;=4,1,0.3)+IF(OR(Profiles!V40&lt;=2,ISNUMBER(SEARCH("Individual",Profiles!D40))),1,0.3))/2,IF('User Input'!$B$27="Team",IF(Profiles!V40&gt;=4,1,0.3),IF(OR(Profiles!V40&lt;=2,ISNUMBER(SEARCH("Individual",Profiles!D40))),1,0.3)))</f>
        <v/>
      </c>
      <c r="M39" s="60">
        <f>IF(IFERROR(MATCH(Profiles!W40,{"None","Light","Medium","Heavy"},0)-1,0)&lt;=IFERROR(MATCH('User Input'!$B$28,{"None","Light","Medium","Heavy"},0)-1,3),1,MAX(0,1-0.4*(IFERROR(MATCH(Profiles!W40,{"None","Light","Medium","Heavy"},0)-1,0)-IFERROR(MATCH('User Input'!$B$28,{"None","Light","Medium","Heavy"},0)-1,3))))</f>
        <v/>
      </c>
      <c r="N39" s="60">
        <f>IF('User Input'!$B$29="neutral",1,IF('User Input'!$B$29="essential",IF(ISNUMBER(SEARCH("Outdoor",Profiles!X40)),1,0.3),IF('User Input'!$B$29="nice",IF(ISNUMBER(SEARCH("Outdoor",Profiles!X40)),1,0.65),IF('User Input'!$B$29="indoor",IF(ISNUMBER(SEARCH("Indoor",Profiles!X40)),1,0.4),1))))</f>
        <v/>
      </c>
      <c r="O39" s="60">
        <f>IF('User Input'!$B$30="Yes",1,IF(Profiles!Y40="Yes",0,1))</f>
        <v/>
      </c>
      <c r="P39" s="60">
        <f>IF(IFERROR(MATCH(Profiles!Z40,{"Low","Medium","High"},0),2)&lt;=IFERROR(MATCH('User Input'!$B$31,{"Low","Medium","High"},0),2),1,MAX(0,1-0.4*(IFERROR(MATCH(Profiles!Z40,{"Low","Medium","High"},0),2)-IFERROR(MATCH('User Input'!$B$31,{"Low","Medium","High"},0),2))))</f>
        <v/>
      </c>
      <c r="Q39" s="60">
        <f>IF('User Input'!$B$32="Yes",IF(ISNUMBER(Profiles!AC40),Profiles!AC40/10,0.5),1)</f>
        <v/>
      </c>
      <c r="R39" s="61">
        <f>IF(OR(K39=0,O39=0),0,ROUND(MIN(100,100*(K39*0.1+L39*0.2+M39*0.2+N39*0.1+P39*0.15+Q39*0.25)*W39*X39*Y39*Z39),1))</f>
        <v/>
      </c>
      <c r="S39" s="61">
        <f>IF(R39=0,0,ROUND(0.5*J39+0.5*R39,1))</f>
        <v/>
      </c>
      <c r="T39" s="36">
        <f>J39-ROW()/1000000</f>
        <v/>
      </c>
      <c r="U39" s="36">
        <f>R39-ROW()/1000000</f>
        <v/>
      </c>
      <c r="V39" s="36">
        <f>S39-ROW()/1000000</f>
        <v/>
      </c>
      <c r="W39" s="36">
        <f>IF(OR(AND(OR(Profiles!D40="Team field",Profiles!D40="Team field contact",Profiles!D40="Team field stick"),'User Input'!$B$34="Yes"),AND(OR(Profiles!D40="Team court",Profiles!D40="Team court contact"),'User Input'!$B$35="Yes"),AND(Profiles!D40="Individual racquet",'User Input'!$B$36="Yes"),AND(OR(Profiles!D40="Combat striking",Profiles!D40="Combat grappling",Profiles!D40="Combat mixed"),'User Input'!$B$37="Yes"),AND(OR(Profiles!D40="Team water contact",Profiles!D40="Individual water"),'User Input'!$B$38="Yes"),AND(OR(Profiles!D40="Endurance individual",Profiles!D40="Endurance individual / pair",Profiles!D40="Endurance individual / pursuit",Profiles!D40="Endurance team / pair",Profiles!D40="Endurance multi"),'User Input'!$B$39="Yes"),AND(OR(Profiles!D40="Strength individual",Profiles!D40="Power-throw individual"),'User Input'!$B$40="Yes"),AND(OR(Profiles!D40="Individual technical",Profiles!D40="Individual aesthetic",Profiles!D40="Team precision"),'User Input'!$B$41="Yes")),1.15,1)</f>
        <v/>
      </c>
      <c r="X39" s="36">
        <f>IF('User Input'!$B$33&lt;&gt;"none",1,IF(IFERROR(VALUE(TRIM(MID(SUBSTITUTE(SUBSTITUTE(Profiles!AA40,"–","-"),"-",REPT(" ",100)),100,100)))&lt;=14,FALSE),0.7,1))</f>
        <v/>
      </c>
      <c r="Y39" s="36">
        <f>IF(OR('User Input'!$B$42="under30",'User Input'!$B$42=""),1,IF('User Input'!$B$42="30to45",IF((IFERROR(MATCH(Profiles!W40,{"None","Light","Medium","Heavy"},0)-1,0)+IFERROR(MATCH(Profiles!AB40,{"Low","Medium","High"},0)-1,0))&gt;=5,0.85,1),IF('User Input'!$B$42="46to60",IF((IFERROR(MATCH(Profiles!W40,{"None","Light","Medium","Heavy"},0)-1,0)+IFERROR(MATCH(Profiles!AB40,{"Low","Medium","High"},0)-1,0))&gt;=5,0.65,IF((IFERROR(MATCH(Profiles!W40,{"None","Light","Medium","Heavy"},0)-1,0)+IFERROR(MATCH(Profiles!AB40,{"Low","Medium","High"},0)-1,0))&gt;=4,0.8,IF((IFERROR(MATCH(Profiles!W40,{"None","Light","Medium","Heavy"},0)-1,0)+IFERROR(MATCH(Profiles!AB40,{"Low","Medium","High"},0)-1,0))&gt;=3,0.9,1))),IF((IFERROR(MATCH(Profiles!W40,{"None","Light","Medium","Heavy"},0)-1,0)+IFERROR(MATCH(Profiles!AB40,{"Low","Medium","High"},0)-1,0))&gt;=5,0.4,IF((IFERROR(MATCH(Profiles!W40,{"None","Light","Medium","Heavy"},0)-1,0)+IFERROR(MATCH(Profiles!AB40,{"Low","Medium","High"},0)-1,0))&gt;=4,0.6,IF((IFERROR(MATCH(Profiles!W40,{"None","Light","Medium","Heavy"},0)-1,0)+IFERROR(MATCH(Profiles!AB40,{"Low","Medium","High"},0)-1,0))&gt;=3,0.75,IF((IFERROR(MATCH(Profiles!W40,{"None","Light","Medium","Heavy"},0)-1,0)+IFERROR(MATCH(Profiles!AB40,{"Low","Medium","High"},0)-1,0))&gt;=2,0.85,1)))))))</f>
        <v/>
      </c>
      <c r="Z39" s="36">
        <f>IF(OR('User Input'!$B$43="none",'User Input'!$B$43=""),1,IF('User Input'!$B$43="minor",IF(IFERROR(MATCH(Profiles!W40,{"None","Light","Medium","Heavy"},0)-1,0)&gt;=3,0.7,IF(IFERROR(MATCH(Profiles!W40,{"None","Light","Medium","Heavy"},0)-1,0)&gt;=2,0.85,1)),IF('User Input'!$B$43="joint",IF(OR(IFERROR(MATCH(Profiles!W40,{"None","Light","Medium","Heavy"},0)-1,0)&gt;=3,IFERROR(MATCH(Profiles!AB40,{"Low","Medium","High"},0)-1,0)&gt;=2),0.5,IF(OR(IFERROR(MATCH(Profiles!W40,{"None","Light","Medium","Heavy"},0)-1,0)&gt;=2,IFERROR(MATCH(Profiles!AB40,{"Low","Medium","High"},0)-1,0)&gt;=1),0.75,1)),IF(OR(IFERROR(MATCH(Profiles!W40,{"None","Light","Medium","Heavy"},0)-1,0)&gt;=2,IFERROR(MATCH(Profiles!AB40,{"Low","Medium","High"},0)-1,0)&gt;=2),0.3,IF(OR(IFERROR(MATCH(Profiles!W40,{"None","Light","Medium","Heavy"},0)-1,0)&gt;=1,IFERROR(MATCH(Profiles!AB40,{"Low","Medium","High"},0)-1,0)&gt;=1),0.6,0.9)))))</f>
        <v/>
      </c>
    </row>
    <row r="40" ht="23.25" customHeight="1" s="37">
      <c r="A40" s="59">
        <f>Profiles!A41</f>
        <v/>
      </c>
      <c r="B40" s="59">
        <f>Profiles!B41</f>
        <v/>
      </c>
      <c r="C40" s="59">
        <f>Profiles!C41</f>
        <v/>
      </c>
      <c r="D40" s="59">
        <f>Profiles!D41</f>
        <v/>
      </c>
      <c r="E40" s="60">
        <f>IF(ISNUMBER(Profiles!E41),IF(ISNUMBER(Profiles!F41),MAX(0,1-(MAX(0,ABS('User Input'!$B$9-Profiles!E41)-Profiles!F41))/Profiles!F41/3),MAX(0,1-ABS('User Input'!$B$9-Profiles!E41)/(Profiles!E41*0.1)/3)),0.5)</f>
        <v/>
      </c>
      <c r="F40" s="60">
        <f>IF(ISNUMBER(Profiles!G41),IF(ISNUMBER(Profiles!H41),MAX(0,1-(MAX(0,ABS('User Input'!$B$10-Profiles!G41)-Profiles!H41))/Profiles!H41/3),MAX(0,1-ABS('User Input'!$B$10-Profiles!G41)/(Profiles!G41*0.15)/3)),0.5)</f>
        <v/>
      </c>
      <c r="G40" s="60">
        <f>IF(ISNUMBER(Profiles!J41),MAX(0,1-ABS('User Input'!$B$12-Profiles!J41)/5/3),0.5)</f>
        <v/>
      </c>
      <c r="H40" s="60">
        <f>IF(ISNUMBER(Profiles!K41),MAX(0,1-ABS('User Input'!$B$14-Profiles!K41)/0.03/3),"n/a")</f>
        <v/>
      </c>
      <c r="I40" s="61">
        <f>100*MAX(0,1-(MAX(0,Profiles!M41-'User Input'!$B$17)+0.5*MAX(0,'User Input'!$B$17-Profiles!M41)+MAX(0,Profiles!N41-'User Input'!$B$18)+0.5*MAX(0,'User Input'!$B$18-Profiles!N41)+MAX(0,Profiles!O41-'User Input'!$B$19)+0.5*MAX(0,'User Input'!$B$19-Profiles!O41)+MAX(0,Profiles!P41-'User Input'!$B$20)+0.5*MAX(0,'User Input'!$B$20-Profiles!P41)+MAX(0,Profiles!Q41-'User Input'!$B$21)+0.5*MAX(0,'User Input'!$B$21-Profiles!Q41)+MAX(0,Profiles!S41-'User Input'!$B$22)+0.5*MAX(0,'User Input'!$B$22-Profiles!S41)+MAX(0,Profiles!T41-'User Input'!$B$23)+0.5*MAX(0,'User Input'!$B$23-Profiles!T41)+MAX(0,Profiles!U41-'User Input'!$B$24)+0.5*MAX(0,'User Input'!$B$24-Profiles!U41))/40)</f>
        <v/>
      </c>
      <c r="J40" s="61">
        <f>ROUND(60*(E40+F40+G40+IFERROR(VALUE(H40),(E40+F40+G40)/3))/4 + 0.4*I40,1)</f>
        <v/>
      </c>
      <c r="K40" s="60">
        <f>IF(OR(AND('User Input'!$B$6="M",Profiles!$AG41="M"),AND('User Input'!$B$6="F",Profiles!$AG41="F")),1,0)</f>
        <v/>
      </c>
      <c r="L40" s="60">
        <f>IF('User Input'!$B$27="Either",(IF(Profiles!V41&gt;=4,1,0.3)+IF(OR(Profiles!V41&lt;=2,ISNUMBER(SEARCH("Individual",Profiles!D41))),1,0.3))/2,IF('User Input'!$B$27="Team",IF(Profiles!V41&gt;=4,1,0.3),IF(OR(Profiles!V41&lt;=2,ISNUMBER(SEARCH("Individual",Profiles!D41))),1,0.3)))</f>
        <v/>
      </c>
      <c r="M40" s="60">
        <f>IF(IFERROR(MATCH(Profiles!W41,{"None","Light","Medium","Heavy"},0)-1,0)&lt;=IFERROR(MATCH('User Input'!$B$28,{"None","Light","Medium","Heavy"},0)-1,3),1,MAX(0,1-0.4*(IFERROR(MATCH(Profiles!W41,{"None","Light","Medium","Heavy"},0)-1,0)-IFERROR(MATCH('User Input'!$B$28,{"None","Light","Medium","Heavy"},0)-1,3))))</f>
        <v/>
      </c>
      <c r="N40" s="60">
        <f>IF('User Input'!$B$29="neutral",1,IF('User Input'!$B$29="essential",IF(ISNUMBER(SEARCH("Outdoor",Profiles!X41)),1,0.3),IF('User Input'!$B$29="nice",IF(ISNUMBER(SEARCH("Outdoor",Profiles!X41)),1,0.65),IF('User Input'!$B$29="indoor",IF(ISNUMBER(SEARCH("Indoor",Profiles!X41)),1,0.4),1))))</f>
        <v/>
      </c>
      <c r="O40" s="60">
        <f>IF('User Input'!$B$30="Yes",1,IF(Profiles!Y41="Yes",0,1))</f>
        <v/>
      </c>
      <c r="P40" s="60">
        <f>IF(IFERROR(MATCH(Profiles!Z41,{"Low","Medium","High"},0),2)&lt;=IFERROR(MATCH('User Input'!$B$31,{"Low","Medium","High"},0),2),1,MAX(0,1-0.4*(IFERROR(MATCH(Profiles!Z41,{"Low","Medium","High"},0),2)-IFERROR(MATCH('User Input'!$B$31,{"Low","Medium","High"},0),2))))</f>
        <v/>
      </c>
      <c r="Q40" s="60">
        <f>IF('User Input'!$B$32="Yes",IF(ISNUMBER(Profiles!AC41),Profiles!AC41/10,0.5),1)</f>
        <v/>
      </c>
      <c r="R40" s="61">
        <f>IF(OR(K40=0,O40=0),0,ROUND(MIN(100,100*(K40*0.1+L40*0.2+M40*0.2+N40*0.1+P40*0.15+Q40*0.25)*W40*X40*Y40*Z40),1))</f>
        <v/>
      </c>
      <c r="S40" s="61">
        <f>IF(R40=0,0,ROUND(0.5*J40+0.5*R40,1))</f>
        <v/>
      </c>
      <c r="T40" s="36">
        <f>J40-ROW()/1000000</f>
        <v/>
      </c>
      <c r="U40" s="36">
        <f>R40-ROW()/1000000</f>
        <v/>
      </c>
      <c r="V40" s="36">
        <f>S40-ROW()/1000000</f>
        <v/>
      </c>
      <c r="W40" s="36">
        <f>IF(OR(AND(OR(Profiles!D41="Team field",Profiles!D41="Team field contact",Profiles!D41="Team field stick"),'User Input'!$B$34="Yes"),AND(OR(Profiles!D41="Team court",Profiles!D41="Team court contact"),'User Input'!$B$35="Yes"),AND(Profiles!D41="Individual racquet",'User Input'!$B$36="Yes"),AND(OR(Profiles!D41="Combat striking",Profiles!D41="Combat grappling",Profiles!D41="Combat mixed"),'User Input'!$B$37="Yes"),AND(OR(Profiles!D41="Team water contact",Profiles!D41="Individual water"),'User Input'!$B$38="Yes"),AND(OR(Profiles!D41="Endurance individual",Profiles!D41="Endurance individual / pair",Profiles!D41="Endurance individual / pursuit",Profiles!D41="Endurance team / pair",Profiles!D41="Endurance multi"),'User Input'!$B$39="Yes"),AND(OR(Profiles!D41="Strength individual",Profiles!D41="Power-throw individual"),'User Input'!$B$40="Yes"),AND(OR(Profiles!D41="Individual technical",Profiles!D41="Individual aesthetic",Profiles!D41="Team precision"),'User Input'!$B$41="Yes")),1.15,1)</f>
        <v/>
      </c>
      <c r="X40" s="36">
        <f>IF('User Input'!$B$33&lt;&gt;"none",1,IF(IFERROR(VALUE(TRIM(MID(SUBSTITUTE(SUBSTITUTE(Profiles!AA41,"–","-"),"-",REPT(" ",100)),100,100)))&lt;=14,FALSE),0.7,1))</f>
        <v/>
      </c>
      <c r="Y40" s="36">
        <f>IF(OR('User Input'!$B$42="under30",'User Input'!$B$42=""),1,IF('User Input'!$B$42="30to45",IF((IFERROR(MATCH(Profiles!W41,{"None","Light","Medium","Heavy"},0)-1,0)+IFERROR(MATCH(Profiles!AB41,{"Low","Medium","High"},0)-1,0))&gt;=5,0.85,1),IF('User Input'!$B$42="46to60",IF((IFERROR(MATCH(Profiles!W41,{"None","Light","Medium","Heavy"},0)-1,0)+IFERROR(MATCH(Profiles!AB41,{"Low","Medium","High"},0)-1,0))&gt;=5,0.65,IF((IFERROR(MATCH(Profiles!W41,{"None","Light","Medium","Heavy"},0)-1,0)+IFERROR(MATCH(Profiles!AB41,{"Low","Medium","High"},0)-1,0))&gt;=4,0.8,IF((IFERROR(MATCH(Profiles!W41,{"None","Light","Medium","Heavy"},0)-1,0)+IFERROR(MATCH(Profiles!AB41,{"Low","Medium","High"},0)-1,0))&gt;=3,0.9,1))),IF((IFERROR(MATCH(Profiles!W41,{"None","Light","Medium","Heavy"},0)-1,0)+IFERROR(MATCH(Profiles!AB41,{"Low","Medium","High"},0)-1,0))&gt;=5,0.4,IF((IFERROR(MATCH(Profiles!W41,{"None","Light","Medium","Heavy"},0)-1,0)+IFERROR(MATCH(Profiles!AB41,{"Low","Medium","High"},0)-1,0))&gt;=4,0.6,IF((IFERROR(MATCH(Profiles!W41,{"None","Light","Medium","Heavy"},0)-1,0)+IFERROR(MATCH(Profiles!AB41,{"Low","Medium","High"},0)-1,0))&gt;=3,0.75,IF((IFERROR(MATCH(Profiles!W41,{"None","Light","Medium","Heavy"},0)-1,0)+IFERROR(MATCH(Profiles!AB41,{"Low","Medium","High"},0)-1,0))&gt;=2,0.85,1)))))))</f>
        <v/>
      </c>
      <c r="Z40" s="36">
        <f>IF(OR('User Input'!$B$43="none",'User Input'!$B$43=""),1,IF('User Input'!$B$43="minor",IF(IFERROR(MATCH(Profiles!W41,{"None","Light","Medium","Heavy"},0)-1,0)&gt;=3,0.7,IF(IFERROR(MATCH(Profiles!W41,{"None","Light","Medium","Heavy"},0)-1,0)&gt;=2,0.85,1)),IF('User Input'!$B$43="joint",IF(OR(IFERROR(MATCH(Profiles!W41,{"None","Light","Medium","Heavy"},0)-1,0)&gt;=3,IFERROR(MATCH(Profiles!AB41,{"Low","Medium","High"},0)-1,0)&gt;=2),0.5,IF(OR(IFERROR(MATCH(Profiles!W41,{"None","Light","Medium","Heavy"},0)-1,0)&gt;=2,IFERROR(MATCH(Profiles!AB41,{"Low","Medium","High"},0)-1,0)&gt;=1),0.75,1)),IF(OR(IFERROR(MATCH(Profiles!W41,{"None","Light","Medium","Heavy"},0)-1,0)&gt;=2,IFERROR(MATCH(Profiles!AB41,{"Low","Medium","High"},0)-1,0)&gt;=2),0.3,IF(OR(IFERROR(MATCH(Profiles!W41,{"None","Light","Medium","Heavy"},0)-1,0)&gt;=1,IFERROR(MATCH(Profiles!AB41,{"Low","Medium","High"},0)-1,0)&gt;=1),0.6,0.9)))))</f>
        <v/>
      </c>
    </row>
    <row r="41" ht="23.25" customHeight="1" s="37">
      <c r="A41" s="59">
        <f>Profiles!A42</f>
        <v/>
      </c>
      <c r="B41" s="59">
        <f>Profiles!B42</f>
        <v/>
      </c>
      <c r="C41" s="59">
        <f>Profiles!C42</f>
        <v/>
      </c>
      <c r="D41" s="59">
        <f>Profiles!D42</f>
        <v/>
      </c>
      <c r="E41" s="60">
        <f>IF(ISNUMBER(Profiles!E42),IF(ISNUMBER(Profiles!F42),MAX(0,1-(MAX(0,ABS('User Input'!$B$9-Profiles!E42)-Profiles!F42))/Profiles!F42/3),MAX(0,1-ABS('User Input'!$B$9-Profiles!E42)/(Profiles!E42*0.1)/3)),0.5)</f>
        <v/>
      </c>
      <c r="F41" s="60">
        <f>IF(ISNUMBER(Profiles!G42),IF(ISNUMBER(Profiles!H42),MAX(0,1-(MAX(0,ABS('User Input'!$B$10-Profiles!G42)-Profiles!H42))/Profiles!H42/3),MAX(0,1-ABS('User Input'!$B$10-Profiles!G42)/(Profiles!G42*0.15)/3)),0.5)</f>
        <v/>
      </c>
      <c r="G41" s="60">
        <f>IF(ISNUMBER(Profiles!J42),MAX(0,1-ABS('User Input'!$B$12-Profiles!J42)/5/3),0.5)</f>
        <v/>
      </c>
      <c r="H41" s="60">
        <f>IF(ISNUMBER(Profiles!K42),MAX(0,1-ABS('User Input'!$B$14-Profiles!K42)/0.03/3),"n/a")</f>
        <v/>
      </c>
      <c r="I41" s="61">
        <f>100*MAX(0,1-(MAX(0,Profiles!M42-'User Input'!$B$17)+0.5*MAX(0,'User Input'!$B$17-Profiles!M42)+MAX(0,Profiles!N42-'User Input'!$B$18)+0.5*MAX(0,'User Input'!$B$18-Profiles!N42)+MAX(0,Profiles!O42-'User Input'!$B$19)+0.5*MAX(0,'User Input'!$B$19-Profiles!O42)+MAX(0,Profiles!P42-'User Input'!$B$20)+0.5*MAX(0,'User Input'!$B$20-Profiles!P42)+MAX(0,Profiles!Q42-'User Input'!$B$21)+0.5*MAX(0,'User Input'!$B$21-Profiles!Q42)+MAX(0,Profiles!S42-'User Input'!$B$22)+0.5*MAX(0,'User Input'!$B$22-Profiles!S42)+MAX(0,Profiles!T42-'User Input'!$B$23)+0.5*MAX(0,'User Input'!$B$23-Profiles!T42)+MAX(0,Profiles!U42-'User Input'!$B$24)+0.5*MAX(0,'User Input'!$B$24-Profiles!U42))/40)</f>
        <v/>
      </c>
      <c r="J41" s="61">
        <f>ROUND(60*(E41+F41+G41+IFERROR(VALUE(H41),(E41+F41+G41)/3))/4 + 0.4*I41,1)</f>
        <v/>
      </c>
      <c r="K41" s="60">
        <f>IF(OR(AND('User Input'!$B$6="M",Profiles!$AG42="M"),AND('User Input'!$B$6="F",Profiles!$AG42="F")),1,0)</f>
        <v/>
      </c>
      <c r="L41" s="60">
        <f>IF('User Input'!$B$27="Either",(IF(Profiles!V42&gt;=4,1,0.3)+IF(OR(Profiles!V42&lt;=2,ISNUMBER(SEARCH("Individual",Profiles!D42))),1,0.3))/2,IF('User Input'!$B$27="Team",IF(Profiles!V42&gt;=4,1,0.3),IF(OR(Profiles!V42&lt;=2,ISNUMBER(SEARCH("Individual",Profiles!D42))),1,0.3)))</f>
        <v/>
      </c>
      <c r="M41" s="60">
        <f>IF(IFERROR(MATCH(Profiles!W42,{"None","Light","Medium","Heavy"},0)-1,0)&lt;=IFERROR(MATCH('User Input'!$B$28,{"None","Light","Medium","Heavy"},0)-1,3),1,MAX(0,1-0.4*(IFERROR(MATCH(Profiles!W42,{"None","Light","Medium","Heavy"},0)-1,0)-IFERROR(MATCH('User Input'!$B$28,{"None","Light","Medium","Heavy"},0)-1,3))))</f>
        <v/>
      </c>
      <c r="N41" s="60">
        <f>IF('User Input'!$B$29="neutral",1,IF('User Input'!$B$29="essential",IF(ISNUMBER(SEARCH("Outdoor",Profiles!X42)),1,0.3),IF('User Input'!$B$29="nice",IF(ISNUMBER(SEARCH("Outdoor",Profiles!X42)),1,0.65),IF('User Input'!$B$29="indoor",IF(ISNUMBER(SEARCH("Indoor",Profiles!X42)),1,0.4),1))))</f>
        <v/>
      </c>
      <c r="O41" s="60">
        <f>IF('User Input'!$B$30="Yes",1,IF(Profiles!Y42="Yes",0,1))</f>
        <v/>
      </c>
      <c r="P41" s="60">
        <f>IF(IFERROR(MATCH(Profiles!Z42,{"Low","Medium","High"},0),2)&lt;=IFERROR(MATCH('User Input'!$B$31,{"Low","Medium","High"},0),2),1,MAX(0,1-0.4*(IFERROR(MATCH(Profiles!Z42,{"Low","Medium","High"},0),2)-IFERROR(MATCH('User Input'!$B$31,{"Low","Medium","High"},0),2))))</f>
        <v/>
      </c>
      <c r="Q41" s="60">
        <f>IF('User Input'!$B$32="Yes",IF(ISNUMBER(Profiles!AC42),Profiles!AC42/10,0.5),1)</f>
        <v/>
      </c>
      <c r="R41" s="61">
        <f>IF(OR(K41=0,O41=0),0,ROUND(MIN(100,100*(K41*0.1+L41*0.2+M41*0.2+N41*0.1+P41*0.15+Q41*0.25)*W41*X41*Y41*Z41),1))</f>
        <v/>
      </c>
      <c r="S41" s="61">
        <f>IF(R41=0,0,ROUND(0.5*J41+0.5*R41,1))</f>
        <v/>
      </c>
      <c r="T41" s="36">
        <f>J41-ROW()/1000000</f>
        <v/>
      </c>
      <c r="U41" s="36">
        <f>R41-ROW()/1000000</f>
        <v/>
      </c>
      <c r="V41" s="36">
        <f>S41-ROW()/1000000</f>
        <v/>
      </c>
      <c r="W41" s="36">
        <f>IF(OR(AND(OR(Profiles!D42="Team field",Profiles!D42="Team field contact",Profiles!D42="Team field stick"),'User Input'!$B$34="Yes"),AND(OR(Profiles!D42="Team court",Profiles!D42="Team court contact"),'User Input'!$B$35="Yes"),AND(Profiles!D42="Individual racquet",'User Input'!$B$36="Yes"),AND(OR(Profiles!D42="Combat striking",Profiles!D42="Combat grappling",Profiles!D42="Combat mixed"),'User Input'!$B$37="Yes"),AND(OR(Profiles!D42="Team water contact",Profiles!D42="Individual water"),'User Input'!$B$38="Yes"),AND(OR(Profiles!D42="Endurance individual",Profiles!D42="Endurance individual / pair",Profiles!D42="Endurance individual / pursuit",Profiles!D42="Endurance team / pair",Profiles!D42="Endurance multi"),'User Input'!$B$39="Yes"),AND(OR(Profiles!D42="Strength individual",Profiles!D42="Power-throw individual"),'User Input'!$B$40="Yes"),AND(OR(Profiles!D42="Individual technical",Profiles!D42="Individual aesthetic",Profiles!D42="Team precision"),'User Input'!$B$41="Yes")),1.15,1)</f>
        <v/>
      </c>
      <c r="X41" s="36">
        <f>IF('User Input'!$B$33&lt;&gt;"none",1,IF(IFERROR(VALUE(TRIM(MID(SUBSTITUTE(SUBSTITUTE(Profiles!AA42,"–","-"),"-",REPT(" ",100)),100,100)))&lt;=14,FALSE),0.7,1))</f>
        <v/>
      </c>
      <c r="Y41" s="36">
        <f>IF(OR('User Input'!$B$42="under30",'User Input'!$B$42=""),1,IF('User Input'!$B$42="30to45",IF((IFERROR(MATCH(Profiles!W42,{"None","Light","Medium","Heavy"},0)-1,0)+IFERROR(MATCH(Profiles!AB42,{"Low","Medium","High"},0)-1,0))&gt;=5,0.85,1),IF('User Input'!$B$42="46to60",IF((IFERROR(MATCH(Profiles!W42,{"None","Light","Medium","Heavy"},0)-1,0)+IFERROR(MATCH(Profiles!AB42,{"Low","Medium","High"},0)-1,0))&gt;=5,0.65,IF((IFERROR(MATCH(Profiles!W42,{"None","Light","Medium","Heavy"},0)-1,0)+IFERROR(MATCH(Profiles!AB42,{"Low","Medium","High"},0)-1,0))&gt;=4,0.8,IF((IFERROR(MATCH(Profiles!W42,{"None","Light","Medium","Heavy"},0)-1,0)+IFERROR(MATCH(Profiles!AB42,{"Low","Medium","High"},0)-1,0))&gt;=3,0.9,1))),IF((IFERROR(MATCH(Profiles!W42,{"None","Light","Medium","Heavy"},0)-1,0)+IFERROR(MATCH(Profiles!AB42,{"Low","Medium","High"},0)-1,0))&gt;=5,0.4,IF((IFERROR(MATCH(Profiles!W42,{"None","Light","Medium","Heavy"},0)-1,0)+IFERROR(MATCH(Profiles!AB42,{"Low","Medium","High"},0)-1,0))&gt;=4,0.6,IF((IFERROR(MATCH(Profiles!W42,{"None","Light","Medium","Heavy"},0)-1,0)+IFERROR(MATCH(Profiles!AB42,{"Low","Medium","High"},0)-1,0))&gt;=3,0.75,IF((IFERROR(MATCH(Profiles!W42,{"None","Light","Medium","Heavy"},0)-1,0)+IFERROR(MATCH(Profiles!AB42,{"Low","Medium","High"},0)-1,0))&gt;=2,0.85,1)))))))</f>
        <v/>
      </c>
      <c r="Z41" s="36">
        <f>IF(OR('User Input'!$B$43="none",'User Input'!$B$43=""),1,IF('User Input'!$B$43="minor",IF(IFERROR(MATCH(Profiles!W42,{"None","Light","Medium","Heavy"},0)-1,0)&gt;=3,0.7,IF(IFERROR(MATCH(Profiles!W42,{"None","Light","Medium","Heavy"},0)-1,0)&gt;=2,0.85,1)),IF('User Input'!$B$43="joint",IF(OR(IFERROR(MATCH(Profiles!W42,{"None","Light","Medium","Heavy"},0)-1,0)&gt;=3,IFERROR(MATCH(Profiles!AB42,{"Low","Medium","High"},0)-1,0)&gt;=2),0.5,IF(OR(IFERROR(MATCH(Profiles!W42,{"None","Light","Medium","Heavy"},0)-1,0)&gt;=2,IFERROR(MATCH(Profiles!AB42,{"Low","Medium","High"},0)-1,0)&gt;=1),0.75,1)),IF(OR(IFERROR(MATCH(Profiles!W42,{"None","Light","Medium","Heavy"},0)-1,0)&gt;=2,IFERROR(MATCH(Profiles!AB42,{"Low","Medium","High"},0)-1,0)&gt;=2),0.3,IF(OR(IFERROR(MATCH(Profiles!W42,{"None","Light","Medium","Heavy"},0)-1,0)&gt;=1,IFERROR(MATCH(Profiles!AB42,{"Low","Medium","High"},0)-1,0)&gt;=1),0.6,0.9)))))</f>
        <v/>
      </c>
    </row>
    <row r="42" ht="23.25" customHeight="1" s="37">
      <c r="A42" s="59">
        <f>Profiles!A43</f>
        <v/>
      </c>
      <c r="B42" s="59">
        <f>Profiles!B43</f>
        <v/>
      </c>
      <c r="C42" s="59">
        <f>Profiles!C43</f>
        <v/>
      </c>
      <c r="D42" s="59">
        <f>Profiles!D43</f>
        <v/>
      </c>
      <c r="E42" s="60">
        <f>IF(ISNUMBER(Profiles!E43),IF(ISNUMBER(Profiles!F43),MAX(0,1-(MAX(0,ABS('User Input'!$B$9-Profiles!E43)-Profiles!F43))/Profiles!F43/3),MAX(0,1-ABS('User Input'!$B$9-Profiles!E43)/(Profiles!E43*0.1)/3)),0.5)</f>
        <v/>
      </c>
      <c r="F42" s="60">
        <f>IF(ISNUMBER(Profiles!G43),IF(ISNUMBER(Profiles!H43),MAX(0,1-(MAX(0,ABS('User Input'!$B$10-Profiles!G43)-Profiles!H43))/Profiles!H43/3),MAX(0,1-ABS('User Input'!$B$10-Profiles!G43)/(Profiles!G43*0.15)/3)),0.5)</f>
        <v/>
      </c>
      <c r="G42" s="60">
        <f>IF(ISNUMBER(Profiles!J43),MAX(0,1-ABS('User Input'!$B$12-Profiles!J43)/5/3),0.5)</f>
        <v/>
      </c>
      <c r="H42" s="60">
        <f>IF(ISNUMBER(Profiles!K43),MAX(0,1-ABS('User Input'!$B$14-Profiles!K43)/0.03/3),"n/a")</f>
        <v/>
      </c>
      <c r="I42" s="61">
        <f>100*MAX(0,1-(MAX(0,Profiles!M43-'User Input'!$B$17)+0.5*MAX(0,'User Input'!$B$17-Profiles!M43)+MAX(0,Profiles!N43-'User Input'!$B$18)+0.5*MAX(0,'User Input'!$B$18-Profiles!N43)+MAX(0,Profiles!O43-'User Input'!$B$19)+0.5*MAX(0,'User Input'!$B$19-Profiles!O43)+MAX(0,Profiles!P43-'User Input'!$B$20)+0.5*MAX(0,'User Input'!$B$20-Profiles!P43)+MAX(0,Profiles!Q43-'User Input'!$B$21)+0.5*MAX(0,'User Input'!$B$21-Profiles!Q43)+MAX(0,Profiles!S43-'User Input'!$B$22)+0.5*MAX(0,'User Input'!$B$22-Profiles!S43)+MAX(0,Profiles!T43-'User Input'!$B$23)+0.5*MAX(0,'User Input'!$B$23-Profiles!T43)+MAX(0,Profiles!U43-'User Input'!$B$24)+0.5*MAX(0,'User Input'!$B$24-Profiles!U43))/40)</f>
        <v/>
      </c>
      <c r="J42" s="61">
        <f>ROUND(60*(E42+F42+G42+IFERROR(VALUE(H42),(E42+F42+G42)/3))/4 + 0.4*I42,1)</f>
        <v/>
      </c>
      <c r="K42" s="60">
        <f>IF(OR(AND('User Input'!$B$6="M",Profiles!$AG43="M"),AND('User Input'!$B$6="F",Profiles!$AG43="F")),1,0)</f>
        <v/>
      </c>
      <c r="L42" s="60">
        <f>IF('User Input'!$B$27="Either",(IF(Profiles!V43&gt;=4,1,0.3)+IF(OR(Profiles!V43&lt;=2,ISNUMBER(SEARCH("Individual",Profiles!D43))),1,0.3))/2,IF('User Input'!$B$27="Team",IF(Profiles!V43&gt;=4,1,0.3),IF(OR(Profiles!V43&lt;=2,ISNUMBER(SEARCH("Individual",Profiles!D43))),1,0.3)))</f>
        <v/>
      </c>
      <c r="M42" s="60">
        <f>IF(IFERROR(MATCH(Profiles!W43,{"None","Light","Medium","Heavy"},0)-1,0)&lt;=IFERROR(MATCH('User Input'!$B$28,{"None","Light","Medium","Heavy"},0)-1,3),1,MAX(0,1-0.4*(IFERROR(MATCH(Profiles!W43,{"None","Light","Medium","Heavy"},0)-1,0)-IFERROR(MATCH('User Input'!$B$28,{"None","Light","Medium","Heavy"},0)-1,3))))</f>
        <v/>
      </c>
      <c r="N42" s="60">
        <f>IF('User Input'!$B$29="neutral",1,IF('User Input'!$B$29="essential",IF(ISNUMBER(SEARCH("Outdoor",Profiles!X43)),1,0.3),IF('User Input'!$B$29="nice",IF(ISNUMBER(SEARCH("Outdoor",Profiles!X43)),1,0.65),IF('User Input'!$B$29="indoor",IF(ISNUMBER(SEARCH("Indoor",Profiles!X43)),1,0.4),1))))</f>
        <v/>
      </c>
      <c r="O42" s="60">
        <f>IF('User Input'!$B$30="Yes",1,IF(Profiles!Y43="Yes",0,1))</f>
        <v/>
      </c>
      <c r="P42" s="60">
        <f>IF(IFERROR(MATCH(Profiles!Z43,{"Low","Medium","High"},0),2)&lt;=IFERROR(MATCH('User Input'!$B$31,{"Low","Medium","High"},0),2),1,MAX(0,1-0.4*(IFERROR(MATCH(Profiles!Z43,{"Low","Medium","High"},0),2)-IFERROR(MATCH('User Input'!$B$31,{"Low","Medium","High"},0),2))))</f>
        <v/>
      </c>
      <c r="Q42" s="60">
        <f>IF('User Input'!$B$32="Yes",IF(ISNUMBER(Profiles!AC43),Profiles!AC43/10,0.5),1)</f>
        <v/>
      </c>
      <c r="R42" s="61">
        <f>IF(OR(K42=0,O42=0),0,ROUND(MIN(100,100*(K42*0.1+L42*0.2+M42*0.2+N42*0.1+P42*0.15+Q42*0.25)*W42*X42*Y42*Z42),1))</f>
        <v/>
      </c>
      <c r="S42" s="61">
        <f>IF(R42=0,0,ROUND(0.5*J42+0.5*R42,1))</f>
        <v/>
      </c>
      <c r="T42" s="36">
        <f>J42-ROW()/1000000</f>
        <v/>
      </c>
      <c r="U42" s="36">
        <f>R42-ROW()/1000000</f>
        <v/>
      </c>
      <c r="V42" s="36">
        <f>S42-ROW()/1000000</f>
        <v/>
      </c>
      <c r="W42" s="36">
        <f>IF(OR(AND(OR(Profiles!D43="Team field",Profiles!D43="Team field contact",Profiles!D43="Team field stick"),'User Input'!$B$34="Yes"),AND(OR(Profiles!D43="Team court",Profiles!D43="Team court contact"),'User Input'!$B$35="Yes"),AND(Profiles!D43="Individual racquet",'User Input'!$B$36="Yes"),AND(OR(Profiles!D43="Combat striking",Profiles!D43="Combat grappling",Profiles!D43="Combat mixed"),'User Input'!$B$37="Yes"),AND(OR(Profiles!D43="Team water contact",Profiles!D43="Individual water"),'User Input'!$B$38="Yes"),AND(OR(Profiles!D43="Endurance individual",Profiles!D43="Endurance individual / pair",Profiles!D43="Endurance individual / pursuit",Profiles!D43="Endurance team / pair",Profiles!D43="Endurance multi"),'User Input'!$B$39="Yes"),AND(OR(Profiles!D43="Strength individual",Profiles!D43="Power-throw individual"),'User Input'!$B$40="Yes"),AND(OR(Profiles!D43="Individual technical",Profiles!D43="Individual aesthetic",Profiles!D43="Team precision"),'User Input'!$B$41="Yes")),1.15,1)</f>
        <v/>
      </c>
      <c r="X42" s="36">
        <f>IF('User Input'!$B$33&lt;&gt;"none",1,IF(IFERROR(VALUE(TRIM(MID(SUBSTITUTE(SUBSTITUTE(Profiles!AA43,"–","-"),"-",REPT(" ",100)),100,100)))&lt;=14,FALSE),0.7,1))</f>
        <v/>
      </c>
      <c r="Y42" s="36">
        <f>IF(OR('User Input'!$B$42="under30",'User Input'!$B$42=""),1,IF('User Input'!$B$42="30to45",IF((IFERROR(MATCH(Profiles!W43,{"None","Light","Medium","Heavy"},0)-1,0)+IFERROR(MATCH(Profiles!AB43,{"Low","Medium","High"},0)-1,0))&gt;=5,0.85,1),IF('User Input'!$B$42="46to60",IF((IFERROR(MATCH(Profiles!W43,{"None","Light","Medium","Heavy"},0)-1,0)+IFERROR(MATCH(Profiles!AB43,{"Low","Medium","High"},0)-1,0))&gt;=5,0.65,IF((IFERROR(MATCH(Profiles!W43,{"None","Light","Medium","Heavy"},0)-1,0)+IFERROR(MATCH(Profiles!AB43,{"Low","Medium","High"},0)-1,0))&gt;=4,0.8,IF((IFERROR(MATCH(Profiles!W43,{"None","Light","Medium","Heavy"},0)-1,0)+IFERROR(MATCH(Profiles!AB43,{"Low","Medium","High"},0)-1,0))&gt;=3,0.9,1))),IF((IFERROR(MATCH(Profiles!W43,{"None","Light","Medium","Heavy"},0)-1,0)+IFERROR(MATCH(Profiles!AB43,{"Low","Medium","High"},0)-1,0))&gt;=5,0.4,IF((IFERROR(MATCH(Profiles!W43,{"None","Light","Medium","Heavy"},0)-1,0)+IFERROR(MATCH(Profiles!AB43,{"Low","Medium","High"},0)-1,0))&gt;=4,0.6,IF((IFERROR(MATCH(Profiles!W43,{"None","Light","Medium","Heavy"},0)-1,0)+IFERROR(MATCH(Profiles!AB43,{"Low","Medium","High"},0)-1,0))&gt;=3,0.75,IF((IFERROR(MATCH(Profiles!W43,{"None","Light","Medium","Heavy"},0)-1,0)+IFERROR(MATCH(Profiles!AB43,{"Low","Medium","High"},0)-1,0))&gt;=2,0.85,1)))))))</f>
        <v/>
      </c>
      <c r="Z42" s="36">
        <f>IF(OR('User Input'!$B$43="none",'User Input'!$B$43=""),1,IF('User Input'!$B$43="minor",IF(IFERROR(MATCH(Profiles!W43,{"None","Light","Medium","Heavy"},0)-1,0)&gt;=3,0.7,IF(IFERROR(MATCH(Profiles!W43,{"None","Light","Medium","Heavy"},0)-1,0)&gt;=2,0.85,1)),IF('User Input'!$B$43="joint",IF(OR(IFERROR(MATCH(Profiles!W43,{"None","Light","Medium","Heavy"},0)-1,0)&gt;=3,IFERROR(MATCH(Profiles!AB43,{"Low","Medium","High"},0)-1,0)&gt;=2),0.5,IF(OR(IFERROR(MATCH(Profiles!W43,{"None","Light","Medium","Heavy"},0)-1,0)&gt;=2,IFERROR(MATCH(Profiles!AB43,{"Low","Medium","High"},0)-1,0)&gt;=1),0.75,1)),IF(OR(IFERROR(MATCH(Profiles!W43,{"None","Light","Medium","Heavy"},0)-1,0)&gt;=2,IFERROR(MATCH(Profiles!AB43,{"Low","Medium","High"},0)-1,0)&gt;=2),0.3,IF(OR(IFERROR(MATCH(Profiles!W43,{"None","Light","Medium","Heavy"},0)-1,0)&gt;=1,IFERROR(MATCH(Profiles!AB43,{"Low","Medium","High"},0)-1,0)&gt;=1),0.6,0.9)))))</f>
        <v/>
      </c>
    </row>
    <row r="43" ht="15" customHeight="1" s="37">
      <c r="A43" s="59">
        <f>Profiles!A44</f>
        <v/>
      </c>
      <c r="B43" s="59">
        <f>Profiles!B44</f>
        <v/>
      </c>
      <c r="C43" s="59">
        <f>Profiles!C44</f>
        <v/>
      </c>
      <c r="D43" s="59">
        <f>Profiles!D44</f>
        <v/>
      </c>
      <c r="E43" s="60">
        <f>IF(ISNUMBER(Profiles!E44),IF(ISNUMBER(Profiles!F44),MAX(0,1-(MAX(0,ABS('User Input'!$B$9-Profiles!E44)-Profiles!F44))/Profiles!F44/3),MAX(0,1-ABS('User Input'!$B$9-Profiles!E44)/(Profiles!E44*0.1)/3)),0.5)</f>
        <v/>
      </c>
      <c r="F43" s="60">
        <f>IF(ISNUMBER(Profiles!G44),IF(ISNUMBER(Profiles!H44),MAX(0,1-(MAX(0,ABS('User Input'!$B$10-Profiles!G44)-Profiles!H44))/Profiles!H44/3),MAX(0,1-ABS('User Input'!$B$10-Profiles!G44)/(Profiles!G44*0.15)/3)),0.5)</f>
        <v/>
      </c>
      <c r="G43" s="60">
        <f>IF(ISNUMBER(Profiles!J44),MAX(0,1-ABS('User Input'!$B$12-Profiles!J44)/5/3),0.5)</f>
        <v/>
      </c>
      <c r="H43" s="60">
        <f>IF(ISNUMBER(Profiles!K44),MAX(0,1-ABS('User Input'!$B$14-Profiles!K44)/0.03/3),"n/a")</f>
        <v/>
      </c>
      <c r="I43" s="61">
        <f>100*MAX(0,1-(MAX(0,Profiles!M44-'User Input'!$B$17)+0.5*MAX(0,'User Input'!$B$17-Profiles!M44)+MAX(0,Profiles!N44-'User Input'!$B$18)+0.5*MAX(0,'User Input'!$B$18-Profiles!N44)+MAX(0,Profiles!O44-'User Input'!$B$19)+0.5*MAX(0,'User Input'!$B$19-Profiles!O44)+MAX(0,Profiles!P44-'User Input'!$B$20)+0.5*MAX(0,'User Input'!$B$20-Profiles!P44)+MAX(0,Profiles!Q44-'User Input'!$B$21)+0.5*MAX(0,'User Input'!$B$21-Profiles!Q44)+MAX(0,Profiles!S44-'User Input'!$B$22)+0.5*MAX(0,'User Input'!$B$22-Profiles!S44)+MAX(0,Profiles!T44-'User Input'!$B$23)+0.5*MAX(0,'User Input'!$B$23-Profiles!T44)+MAX(0,Profiles!U44-'User Input'!$B$24)+0.5*MAX(0,'User Input'!$B$24-Profiles!U44))/40)</f>
        <v/>
      </c>
      <c r="J43" s="61">
        <f>ROUND(60*(E43+F43+G43+IFERROR(VALUE(H43),(E43+F43+G43)/3))/4 + 0.4*I43,1)</f>
        <v/>
      </c>
      <c r="K43" s="60">
        <f>IF(OR(AND('User Input'!$B$6="M",Profiles!$AG44="M"),AND('User Input'!$B$6="F",Profiles!$AG44="F")),1,0)</f>
        <v/>
      </c>
      <c r="L43" s="60">
        <f>IF('User Input'!$B$27="Either",(IF(Profiles!V44&gt;=4,1,0.3)+IF(OR(Profiles!V44&lt;=2,ISNUMBER(SEARCH("Individual",Profiles!D44))),1,0.3))/2,IF('User Input'!$B$27="Team",IF(Profiles!V44&gt;=4,1,0.3),IF(OR(Profiles!V44&lt;=2,ISNUMBER(SEARCH("Individual",Profiles!D44))),1,0.3)))</f>
        <v/>
      </c>
      <c r="M43" s="60">
        <f>IF(IFERROR(MATCH(Profiles!W44,{"None","Light","Medium","Heavy"},0)-1,0)&lt;=IFERROR(MATCH('User Input'!$B$28,{"None","Light","Medium","Heavy"},0)-1,3),1,MAX(0,1-0.4*(IFERROR(MATCH(Profiles!W44,{"None","Light","Medium","Heavy"},0)-1,0)-IFERROR(MATCH('User Input'!$B$28,{"None","Light","Medium","Heavy"},0)-1,3))))</f>
        <v/>
      </c>
      <c r="N43" s="60">
        <f>IF('User Input'!$B$29="neutral",1,IF('User Input'!$B$29="essential",IF(ISNUMBER(SEARCH("Outdoor",Profiles!X44)),1,0.3),IF('User Input'!$B$29="nice",IF(ISNUMBER(SEARCH("Outdoor",Profiles!X44)),1,0.65),IF('User Input'!$B$29="indoor",IF(ISNUMBER(SEARCH("Indoor",Profiles!X44)),1,0.4),1))))</f>
        <v/>
      </c>
      <c r="O43" s="60">
        <f>IF('User Input'!$B$30="Yes",1,IF(Profiles!Y44="Yes",0,1))</f>
        <v/>
      </c>
      <c r="P43" s="60">
        <f>IF(IFERROR(MATCH(Profiles!Z44,{"Low","Medium","High"},0),2)&lt;=IFERROR(MATCH('User Input'!$B$31,{"Low","Medium","High"},0),2),1,MAX(0,1-0.4*(IFERROR(MATCH(Profiles!Z44,{"Low","Medium","High"},0),2)-IFERROR(MATCH('User Input'!$B$31,{"Low","Medium","High"},0),2))))</f>
        <v/>
      </c>
      <c r="Q43" s="60">
        <f>IF('User Input'!$B$32="Yes",IF(ISNUMBER(Profiles!AC44),Profiles!AC44/10,0.5),1)</f>
        <v/>
      </c>
      <c r="R43" s="61">
        <f>IF(OR(K43=0,O43=0),0,ROUND(MIN(100,100*(K43*0.1+L43*0.2+M43*0.2+N43*0.1+P43*0.15+Q43*0.25)*W43*X43*Y43*Z43),1))</f>
        <v/>
      </c>
      <c r="S43" s="61">
        <f>IF(R43=0,0,ROUND(0.5*J43+0.5*R43,1))</f>
        <v/>
      </c>
      <c r="T43" s="36">
        <f>J43-ROW()/1000000</f>
        <v/>
      </c>
      <c r="U43" s="36">
        <f>R43-ROW()/1000000</f>
        <v/>
      </c>
      <c r="V43" s="36">
        <f>S43-ROW()/1000000</f>
        <v/>
      </c>
      <c r="W43" s="36">
        <f>IF(OR(AND(OR(Profiles!D44="Team field",Profiles!D44="Team field contact",Profiles!D44="Team field stick"),'User Input'!$B$34="Yes"),AND(OR(Profiles!D44="Team court",Profiles!D44="Team court contact"),'User Input'!$B$35="Yes"),AND(Profiles!D44="Individual racquet",'User Input'!$B$36="Yes"),AND(OR(Profiles!D44="Combat striking",Profiles!D44="Combat grappling",Profiles!D44="Combat mixed"),'User Input'!$B$37="Yes"),AND(OR(Profiles!D44="Team water contact",Profiles!D44="Individual water"),'User Input'!$B$38="Yes"),AND(OR(Profiles!D44="Endurance individual",Profiles!D44="Endurance individual / pair",Profiles!D44="Endurance individual / pursuit",Profiles!D44="Endurance team / pair",Profiles!D44="Endurance multi"),'User Input'!$B$39="Yes"),AND(OR(Profiles!D44="Strength individual",Profiles!D44="Power-throw individual"),'User Input'!$B$40="Yes"),AND(OR(Profiles!D44="Individual technical",Profiles!D44="Individual aesthetic",Profiles!D44="Team precision"),'User Input'!$B$41="Yes")),1.15,1)</f>
        <v/>
      </c>
      <c r="X43" s="36">
        <f>IF('User Input'!$B$33&lt;&gt;"none",1,IF(IFERROR(VALUE(TRIM(MID(SUBSTITUTE(SUBSTITUTE(Profiles!AA44,"–","-"),"-",REPT(" ",100)),100,100)))&lt;=14,FALSE),0.7,1))</f>
        <v/>
      </c>
      <c r="Y43" s="36">
        <f>IF(OR('User Input'!$B$42="under30",'User Input'!$B$42=""),1,IF('User Input'!$B$42="30to45",IF((IFERROR(MATCH(Profiles!W44,{"None","Light","Medium","Heavy"},0)-1,0)+IFERROR(MATCH(Profiles!AB44,{"Low","Medium","High"},0)-1,0))&gt;=5,0.85,1),IF('User Input'!$B$42="46to60",IF((IFERROR(MATCH(Profiles!W44,{"None","Light","Medium","Heavy"},0)-1,0)+IFERROR(MATCH(Profiles!AB44,{"Low","Medium","High"},0)-1,0))&gt;=5,0.65,IF((IFERROR(MATCH(Profiles!W44,{"None","Light","Medium","Heavy"},0)-1,0)+IFERROR(MATCH(Profiles!AB44,{"Low","Medium","High"},0)-1,0))&gt;=4,0.8,IF((IFERROR(MATCH(Profiles!W44,{"None","Light","Medium","Heavy"},0)-1,0)+IFERROR(MATCH(Profiles!AB44,{"Low","Medium","High"},0)-1,0))&gt;=3,0.9,1))),IF((IFERROR(MATCH(Profiles!W44,{"None","Light","Medium","Heavy"},0)-1,0)+IFERROR(MATCH(Profiles!AB44,{"Low","Medium","High"},0)-1,0))&gt;=5,0.4,IF((IFERROR(MATCH(Profiles!W44,{"None","Light","Medium","Heavy"},0)-1,0)+IFERROR(MATCH(Profiles!AB44,{"Low","Medium","High"},0)-1,0))&gt;=4,0.6,IF((IFERROR(MATCH(Profiles!W44,{"None","Light","Medium","Heavy"},0)-1,0)+IFERROR(MATCH(Profiles!AB44,{"Low","Medium","High"},0)-1,0))&gt;=3,0.75,IF((IFERROR(MATCH(Profiles!W44,{"None","Light","Medium","Heavy"},0)-1,0)+IFERROR(MATCH(Profiles!AB44,{"Low","Medium","High"},0)-1,0))&gt;=2,0.85,1)))))))</f>
        <v/>
      </c>
      <c r="Z43" s="36">
        <f>IF(OR('User Input'!$B$43="none",'User Input'!$B$43=""),1,IF('User Input'!$B$43="minor",IF(IFERROR(MATCH(Profiles!W44,{"None","Light","Medium","Heavy"},0)-1,0)&gt;=3,0.7,IF(IFERROR(MATCH(Profiles!W44,{"None","Light","Medium","Heavy"},0)-1,0)&gt;=2,0.85,1)),IF('User Input'!$B$43="joint",IF(OR(IFERROR(MATCH(Profiles!W44,{"None","Light","Medium","Heavy"},0)-1,0)&gt;=3,IFERROR(MATCH(Profiles!AB44,{"Low","Medium","High"},0)-1,0)&gt;=2),0.5,IF(OR(IFERROR(MATCH(Profiles!W44,{"None","Light","Medium","Heavy"},0)-1,0)&gt;=2,IFERROR(MATCH(Profiles!AB44,{"Low","Medium","High"},0)-1,0)&gt;=1),0.75,1)),IF(OR(IFERROR(MATCH(Profiles!W44,{"None","Light","Medium","Heavy"},0)-1,0)&gt;=2,IFERROR(MATCH(Profiles!AB44,{"Low","Medium","High"},0)-1,0)&gt;=2),0.3,IF(OR(IFERROR(MATCH(Profiles!W44,{"None","Light","Medium","Heavy"},0)-1,0)&gt;=1,IFERROR(MATCH(Profiles!AB44,{"Low","Medium","High"},0)-1,0)&gt;=1),0.6,0.9)))))</f>
        <v/>
      </c>
    </row>
    <row r="44" ht="15" customHeight="1" s="37">
      <c r="A44" s="59">
        <f>Profiles!A45</f>
        <v/>
      </c>
      <c r="B44" s="59">
        <f>Profiles!B45</f>
        <v/>
      </c>
      <c r="C44" s="59">
        <f>Profiles!C45</f>
        <v/>
      </c>
      <c r="D44" s="59">
        <f>Profiles!D45</f>
        <v/>
      </c>
      <c r="E44" s="60">
        <f>IF(ISNUMBER(Profiles!E45),IF(ISNUMBER(Profiles!F45),MAX(0,1-(MAX(0,ABS('User Input'!$B$9-Profiles!E45)-Profiles!F45))/Profiles!F45/3),MAX(0,1-ABS('User Input'!$B$9-Profiles!E45)/(Profiles!E45*0.1)/3)),0.5)</f>
        <v/>
      </c>
      <c r="F44" s="60">
        <f>IF(ISNUMBER(Profiles!G45),IF(ISNUMBER(Profiles!H45),MAX(0,1-(MAX(0,ABS('User Input'!$B$10-Profiles!G45)-Profiles!H45))/Profiles!H45/3),MAX(0,1-ABS('User Input'!$B$10-Profiles!G45)/(Profiles!G45*0.15)/3)),0.5)</f>
        <v/>
      </c>
      <c r="G44" s="60">
        <f>IF(ISNUMBER(Profiles!J45),MAX(0,1-ABS('User Input'!$B$12-Profiles!J45)/5/3),0.5)</f>
        <v/>
      </c>
      <c r="H44" s="60">
        <f>IF(ISNUMBER(Profiles!K45),MAX(0,1-ABS('User Input'!$B$14-Profiles!K45)/0.03/3),"n/a")</f>
        <v/>
      </c>
      <c r="I44" s="61">
        <f>100*MAX(0,1-(MAX(0,Profiles!M45-'User Input'!$B$17)+0.5*MAX(0,'User Input'!$B$17-Profiles!M45)+MAX(0,Profiles!N45-'User Input'!$B$18)+0.5*MAX(0,'User Input'!$B$18-Profiles!N45)+MAX(0,Profiles!O45-'User Input'!$B$19)+0.5*MAX(0,'User Input'!$B$19-Profiles!O45)+MAX(0,Profiles!P45-'User Input'!$B$20)+0.5*MAX(0,'User Input'!$B$20-Profiles!P45)+MAX(0,Profiles!Q45-'User Input'!$B$21)+0.5*MAX(0,'User Input'!$B$21-Profiles!Q45)+MAX(0,Profiles!S45-'User Input'!$B$22)+0.5*MAX(0,'User Input'!$B$22-Profiles!S45)+MAX(0,Profiles!T45-'User Input'!$B$23)+0.5*MAX(0,'User Input'!$B$23-Profiles!T45)+MAX(0,Profiles!U45-'User Input'!$B$24)+0.5*MAX(0,'User Input'!$B$24-Profiles!U45))/40)</f>
        <v/>
      </c>
      <c r="J44" s="61">
        <f>ROUND(60*(E44+F44+G44+IFERROR(VALUE(H44),(E44+F44+G44)/3))/4 + 0.4*I44,1)</f>
        <v/>
      </c>
      <c r="K44" s="60">
        <f>IF(OR(AND('User Input'!$B$6="M",Profiles!$AG45="M"),AND('User Input'!$B$6="F",Profiles!$AG45="F")),1,0)</f>
        <v/>
      </c>
      <c r="L44" s="60">
        <f>IF('User Input'!$B$27="Either",(IF(Profiles!V45&gt;=4,1,0.3)+IF(OR(Profiles!V45&lt;=2,ISNUMBER(SEARCH("Individual",Profiles!D45))),1,0.3))/2,IF('User Input'!$B$27="Team",IF(Profiles!V45&gt;=4,1,0.3),IF(OR(Profiles!V45&lt;=2,ISNUMBER(SEARCH("Individual",Profiles!D45))),1,0.3)))</f>
        <v/>
      </c>
      <c r="M44" s="60">
        <f>IF(IFERROR(MATCH(Profiles!W45,{"None","Light","Medium","Heavy"},0)-1,0)&lt;=IFERROR(MATCH('User Input'!$B$28,{"None","Light","Medium","Heavy"},0)-1,3),1,MAX(0,1-0.4*(IFERROR(MATCH(Profiles!W45,{"None","Light","Medium","Heavy"},0)-1,0)-IFERROR(MATCH('User Input'!$B$28,{"None","Light","Medium","Heavy"},0)-1,3))))</f>
        <v/>
      </c>
      <c r="N44" s="60">
        <f>IF('User Input'!$B$29="neutral",1,IF('User Input'!$B$29="essential",IF(ISNUMBER(SEARCH("Outdoor",Profiles!X45)),1,0.3),IF('User Input'!$B$29="nice",IF(ISNUMBER(SEARCH("Outdoor",Profiles!X45)),1,0.65),IF('User Input'!$B$29="indoor",IF(ISNUMBER(SEARCH("Indoor",Profiles!X45)),1,0.4),1))))</f>
        <v/>
      </c>
      <c r="O44" s="60">
        <f>IF('User Input'!$B$30="Yes",1,IF(Profiles!Y45="Yes",0,1))</f>
        <v/>
      </c>
      <c r="P44" s="60">
        <f>IF(IFERROR(MATCH(Profiles!Z45,{"Low","Medium","High"},0),2)&lt;=IFERROR(MATCH('User Input'!$B$31,{"Low","Medium","High"},0),2),1,MAX(0,1-0.4*(IFERROR(MATCH(Profiles!Z45,{"Low","Medium","High"},0),2)-IFERROR(MATCH('User Input'!$B$31,{"Low","Medium","High"},0),2))))</f>
        <v/>
      </c>
      <c r="Q44" s="60">
        <f>IF('User Input'!$B$32="Yes",IF(ISNUMBER(Profiles!AC45),Profiles!AC45/10,0.5),1)</f>
        <v/>
      </c>
      <c r="R44" s="61">
        <f>IF(OR(K44=0,O44=0),0,ROUND(MIN(100,100*(K44*0.1+L44*0.2+M44*0.2+N44*0.1+P44*0.15+Q44*0.25)*W44*X44*Y44*Z44),1))</f>
        <v/>
      </c>
      <c r="S44" s="61">
        <f>IF(R44=0,0,ROUND(0.5*J44+0.5*R44,1))</f>
        <v/>
      </c>
      <c r="T44" s="36">
        <f>J44-ROW()/1000000</f>
        <v/>
      </c>
      <c r="U44" s="36">
        <f>R44-ROW()/1000000</f>
        <v/>
      </c>
      <c r="V44" s="36">
        <f>S44-ROW()/1000000</f>
        <v/>
      </c>
      <c r="W44" s="36">
        <f>IF(OR(AND(OR(Profiles!D45="Team field",Profiles!D45="Team field contact",Profiles!D45="Team field stick"),'User Input'!$B$34="Yes"),AND(OR(Profiles!D45="Team court",Profiles!D45="Team court contact"),'User Input'!$B$35="Yes"),AND(Profiles!D45="Individual racquet",'User Input'!$B$36="Yes"),AND(OR(Profiles!D45="Combat striking",Profiles!D45="Combat grappling",Profiles!D45="Combat mixed"),'User Input'!$B$37="Yes"),AND(OR(Profiles!D45="Team water contact",Profiles!D45="Individual water"),'User Input'!$B$38="Yes"),AND(OR(Profiles!D45="Endurance individual",Profiles!D45="Endurance individual / pair",Profiles!D45="Endurance individual / pursuit",Profiles!D45="Endurance team / pair",Profiles!D45="Endurance multi"),'User Input'!$B$39="Yes"),AND(OR(Profiles!D45="Strength individual",Profiles!D45="Power-throw individual"),'User Input'!$B$40="Yes"),AND(OR(Profiles!D45="Individual technical",Profiles!D45="Individual aesthetic",Profiles!D45="Team precision"),'User Input'!$B$41="Yes")),1.15,1)</f>
        <v/>
      </c>
      <c r="X44" s="36">
        <f>IF('User Input'!$B$33&lt;&gt;"none",1,IF(IFERROR(VALUE(TRIM(MID(SUBSTITUTE(SUBSTITUTE(Profiles!AA45,"–","-"),"-",REPT(" ",100)),100,100)))&lt;=14,FALSE),0.7,1))</f>
        <v/>
      </c>
      <c r="Y44" s="36">
        <f>IF(OR('User Input'!$B$42="under30",'User Input'!$B$42=""),1,IF('User Input'!$B$42="30to45",IF((IFERROR(MATCH(Profiles!W45,{"None","Light","Medium","Heavy"},0)-1,0)+IFERROR(MATCH(Profiles!AB45,{"Low","Medium","High"},0)-1,0))&gt;=5,0.85,1),IF('User Input'!$B$42="46to60",IF((IFERROR(MATCH(Profiles!W45,{"None","Light","Medium","Heavy"},0)-1,0)+IFERROR(MATCH(Profiles!AB45,{"Low","Medium","High"},0)-1,0))&gt;=5,0.65,IF((IFERROR(MATCH(Profiles!W45,{"None","Light","Medium","Heavy"},0)-1,0)+IFERROR(MATCH(Profiles!AB45,{"Low","Medium","High"},0)-1,0))&gt;=4,0.8,IF((IFERROR(MATCH(Profiles!W45,{"None","Light","Medium","Heavy"},0)-1,0)+IFERROR(MATCH(Profiles!AB45,{"Low","Medium","High"},0)-1,0))&gt;=3,0.9,1))),IF((IFERROR(MATCH(Profiles!W45,{"None","Light","Medium","Heavy"},0)-1,0)+IFERROR(MATCH(Profiles!AB45,{"Low","Medium","High"},0)-1,0))&gt;=5,0.4,IF((IFERROR(MATCH(Profiles!W45,{"None","Light","Medium","Heavy"},0)-1,0)+IFERROR(MATCH(Profiles!AB45,{"Low","Medium","High"},0)-1,0))&gt;=4,0.6,IF((IFERROR(MATCH(Profiles!W45,{"None","Light","Medium","Heavy"},0)-1,0)+IFERROR(MATCH(Profiles!AB45,{"Low","Medium","High"},0)-1,0))&gt;=3,0.75,IF((IFERROR(MATCH(Profiles!W45,{"None","Light","Medium","Heavy"},0)-1,0)+IFERROR(MATCH(Profiles!AB45,{"Low","Medium","High"},0)-1,0))&gt;=2,0.85,1)))))))</f>
        <v/>
      </c>
      <c r="Z44" s="36">
        <f>IF(OR('User Input'!$B$43="none",'User Input'!$B$43=""),1,IF('User Input'!$B$43="minor",IF(IFERROR(MATCH(Profiles!W45,{"None","Light","Medium","Heavy"},0)-1,0)&gt;=3,0.7,IF(IFERROR(MATCH(Profiles!W45,{"None","Light","Medium","Heavy"},0)-1,0)&gt;=2,0.85,1)),IF('User Input'!$B$43="joint",IF(OR(IFERROR(MATCH(Profiles!W45,{"None","Light","Medium","Heavy"},0)-1,0)&gt;=3,IFERROR(MATCH(Profiles!AB45,{"Low","Medium","High"},0)-1,0)&gt;=2),0.5,IF(OR(IFERROR(MATCH(Profiles!W45,{"None","Light","Medium","Heavy"},0)-1,0)&gt;=2,IFERROR(MATCH(Profiles!AB45,{"Low","Medium","High"},0)-1,0)&gt;=1),0.75,1)),IF(OR(IFERROR(MATCH(Profiles!W45,{"None","Light","Medium","Heavy"},0)-1,0)&gt;=2,IFERROR(MATCH(Profiles!AB45,{"Low","Medium","High"},0)-1,0)&gt;=2),0.3,IF(OR(IFERROR(MATCH(Profiles!W45,{"None","Light","Medium","Heavy"},0)-1,0)&gt;=1,IFERROR(MATCH(Profiles!AB45,{"Low","Medium","High"},0)-1,0)&gt;=1),0.6,0.9)))))</f>
        <v/>
      </c>
    </row>
    <row r="45" ht="15" customHeight="1" s="37">
      <c r="A45" s="59">
        <f>Profiles!A46</f>
        <v/>
      </c>
      <c r="B45" s="59">
        <f>Profiles!B46</f>
        <v/>
      </c>
      <c r="C45" s="59">
        <f>Profiles!C46</f>
        <v/>
      </c>
      <c r="D45" s="59">
        <f>Profiles!D46</f>
        <v/>
      </c>
      <c r="E45" s="60">
        <f>IF(ISNUMBER(Profiles!E46),IF(ISNUMBER(Profiles!F46),MAX(0,1-(MAX(0,ABS('User Input'!$B$9-Profiles!E46)-Profiles!F46))/Profiles!F46/3),MAX(0,1-ABS('User Input'!$B$9-Profiles!E46)/(Profiles!E46*0.1)/3)),0.5)</f>
        <v/>
      </c>
      <c r="F45" s="60">
        <f>IF(ISNUMBER(Profiles!G46),IF(ISNUMBER(Profiles!H46),MAX(0,1-(MAX(0,ABS('User Input'!$B$10-Profiles!G46)-Profiles!H46))/Profiles!H46/3),MAX(0,1-ABS('User Input'!$B$10-Profiles!G46)/(Profiles!G46*0.15)/3)),0.5)</f>
        <v/>
      </c>
      <c r="G45" s="60">
        <f>IF(ISNUMBER(Profiles!J46),MAX(0,1-ABS('User Input'!$B$12-Profiles!J46)/5/3),0.5)</f>
        <v/>
      </c>
      <c r="H45" s="60">
        <f>IF(ISNUMBER(Profiles!K46),MAX(0,1-ABS('User Input'!$B$14-Profiles!K46)/0.03/3),"n/a")</f>
        <v/>
      </c>
      <c r="I45" s="61">
        <f>100*MAX(0,1-(MAX(0,Profiles!M46-'User Input'!$B$17)+0.5*MAX(0,'User Input'!$B$17-Profiles!M46)+MAX(0,Profiles!N46-'User Input'!$B$18)+0.5*MAX(0,'User Input'!$B$18-Profiles!N46)+MAX(0,Profiles!O46-'User Input'!$B$19)+0.5*MAX(0,'User Input'!$B$19-Profiles!O46)+MAX(0,Profiles!P46-'User Input'!$B$20)+0.5*MAX(0,'User Input'!$B$20-Profiles!P46)+MAX(0,Profiles!Q46-'User Input'!$B$21)+0.5*MAX(0,'User Input'!$B$21-Profiles!Q46)+MAX(0,Profiles!S46-'User Input'!$B$22)+0.5*MAX(0,'User Input'!$B$22-Profiles!S46)+MAX(0,Profiles!T46-'User Input'!$B$23)+0.5*MAX(0,'User Input'!$B$23-Profiles!T46)+MAX(0,Profiles!U46-'User Input'!$B$24)+0.5*MAX(0,'User Input'!$B$24-Profiles!U46))/40)</f>
        <v/>
      </c>
      <c r="J45" s="61">
        <f>ROUND(60*(E45+F45+G45+IFERROR(VALUE(H45),(E45+F45+G45)/3))/4 + 0.4*I45,1)</f>
        <v/>
      </c>
      <c r="K45" s="60">
        <f>IF(OR(AND('User Input'!$B$6="M",Profiles!$AG46="M"),AND('User Input'!$B$6="F",Profiles!$AG46="F")),1,0)</f>
        <v/>
      </c>
      <c r="L45" s="60">
        <f>IF('User Input'!$B$27="Either",(IF(Profiles!V46&gt;=4,1,0.3)+IF(OR(Profiles!V46&lt;=2,ISNUMBER(SEARCH("Individual",Profiles!D46))),1,0.3))/2,IF('User Input'!$B$27="Team",IF(Profiles!V46&gt;=4,1,0.3),IF(OR(Profiles!V46&lt;=2,ISNUMBER(SEARCH("Individual",Profiles!D46))),1,0.3)))</f>
        <v/>
      </c>
      <c r="M45" s="60">
        <f>IF(IFERROR(MATCH(Profiles!W46,{"None","Light","Medium","Heavy"},0)-1,0)&lt;=IFERROR(MATCH('User Input'!$B$28,{"None","Light","Medium","Heavy"},0)-1,3),1,MAX(0,1-0.4*(IFERROR(MATCH(Profiles!W46,{"None","Light","Medium","Heavy"},0)-1,0)-IFERROR(MATCH('User Input'!$B$28,{"None","Light","Medium","Heavy"},0)-1,3))))</f>
        <v/>
      </c>
      <c r="N45" s="60">
        <f>IF('User Input'!$B$29="neutral",1,IF('User Input'!$B$29="essential",IF(ISNUMBER(SEARCH("Outdoor",Profiles!X46)),1,0.3),IF('User Input'!$B$29="nice",IF(ISNUMBER(SEARCH("Outdoor",Profiles!X46)),1,0.65),IF('User Input'!$B$29="indoor",IF(ISNUMBER(SEARCH("Indoor",Profiles!X46)),1,0.4),1))))</f>
        <v/>
      </c>
      <c r="O45" s="60">
        <f>IF('User Input'!$B$30="Yes",1,IF(Profiles!Y46="Yes",0,1))</f>
        <v/>
      </c>
      <c r="P45" s="60">
        <f>IF(IFERROR(MATCH(Profiles!Z46,{"Low","Medium","High"},0),2)&lt;=IFERROR(MATCH('User Input'!$B$31,{"Low","Medium","High"},0),2),1,MAX(0,1-0.4*(IFERROR(MATCH(Profiles!Z46,{"Low","Medium","High"},0),2)-IFERROR(MATCH('User Input'!$B$31,{"Low","Medium","High"},0),2))))</f>
        <v/>
      </c>
      <c r="Q45" s="60">
        <f>IF('User Input'!$B$32="Yes",IF(ISNUMBER(Profiles!AC46),Profiles!AC46/10,0.5),1)</f>
        <v/>
      </c>
      <c r="R45" s="61">
        <f>IF(OR(K45=0,O45=0),0,ROUND(MIN(100,100*(K45*0.1+L45*0.2+M45*0.2+N45*0.1+P45*0.15+Q45*0.25)*W45*X45*Y45*Z45),1))</f>
        <v/>
      </c>
      <c r="S45" s="61">
        <f>IF(R45=0,0,ROUND(0.5*J45+0.5*R45,1))</f>
        <v/>
      </c>
      <c r="T45" s="36">
        <f>J45-ROW()/1000000</f>
        <v/>
      </c>
      <c r="U45" s="36">
        <f>R45-ROW()/1000000</f>
        <v/>
      </c>
      <c r="V45" s="36">
        <f>S45-ROW()/1000000</f>
        <v/>
      </c>
      <c r="W45" s="36">
        <f>IF(OR(AND(OR(Profiles!D46="Team field",Profiles!D46="Team field contact",Profiles!D46="Team field stick"),'User Input'!$B$34="Yes"),AND(OR(Profiles!D46="Team court",Profiles!D46="Team court contact"),'User Input'!$B$35="Yes"),AND(Profiles!D46="Individual racquet",'User Input'!$B$36="Yes"),AND(OR(Profiles!D46="Combat striking",Profiles!D46="Combat grappling",Profiles!D46="Combat mixed"),'User Input'!$B$37="Yes"),AND(OR(Profiles!D46="Team water contact",Profiles!D46="Individual water"),'User Input'!$B$38="Yes"),AND(OR(Profiles!D46="Endurance individual",Profiles!D46="Endurance individual / pair",Profiles!D46="Endurance individual / pursuit",Profiles!D46="Endurance team / pair",Profiles!D46="Endurance multi"),'User Input'!$B$39="Yes"),AND(OR(Profiles!D46="Strength individual",Profiles!D46="Power-throw individual"),'User Input'!$B$40="Yes"),AND(OR(Profiles!D46="Individual technical",Profiles!D46="Individual aesthetic",Profiles!D46="Team precision"),'User Input'!$B$41="Yes")),1.15,1)</f>
        <v/>
      </c>
      <c r="X45" s="36">
        <f>IF('User Input'!$B$33&lt;&gt;"none",1,IF(IFERROR(VALUE(TRIM(MID(SUBSTITUTE(SUBSTITUTE(Profiles!AA46,"–","-"),"-",REPT(" ",100)),100,100)))&lt;=14,FALSE),0.7,1))</f>
        <v/>
      </c>
      <c r="Y45" s="36">
        <f>IF(OR('User Input'!$B$42="under30",'User Input'!$B$42=""),1,IF('User Input'!$B$42="30to45",IF((IFERROR(MATCH(Profiles!W46,{"None","Light","Medium","Heavy"},0)-1,0)+IFERROR(MATCH(Profiles!AB46,{"Low","Medium","High"},0)-1,0))&gt;=5,0.85,1),IF('User Input'!$B$42="46to60",IF((IFERROR(MATCH(Profiles!W46,{"None","Light","Medium","Heavy"},0)-1,0)+IFERROR(MATCH(Profiles!AB46,{"Low","Medium","High"},0)-1,0))&gt;=5,0.65,IF((IFERROR(MATCH(Profiles!W46,{"None","Light","Medium","Heavy"},0)-1,0)+IFERROR(MATCH(Profiles!AB46,{"Low","Medium","High"},0)-1,0))&gt;=4,0.8,IF((IFERROR(MATCH(Profiles!W46,{"None","Light","Medium","Heavy"},0)-1,0)+IFERROR(MATCH(Profiles!AB46,{"Low","Medium","High"},0)-1,0))&gt;=3,0.9,1))),IF((IFERROR(MATCH(Profiles!W46,{"None","Light","Medium","Heavy"},0)-1,0)+IFERROR(MATCH(Profiles!AB46,{"Low","Medium","High"},0)-1,0))&gt;=5,0.4,IF((IFERROR(MATCH(Profiles!W46,{"None","Light","Medium","Heavy"},0)-1,0)+IFERROR(MATCH(Profiles!AB46,{"Low","Medium","High"},0)-1,0))&gt;=4,0.6,IF((IFERROR(MATCH(Profiles!W46,{"None","Light","Medium","Heavy"},0)-1,0)+IFERROR(MATCH(Profiles!AB46,{"Low","Medium","High"},0)-1,0))&gt;=3,0.75,IF((IFERROR(MATCH(Profiles!W46,{"None","Light","Medium","Heavy"},0)-1,0)+IFERROR(MATCH(Profiles!AB46,{"Low","Medium","High"},0)-1,0))&gt;=2,0.85,1)))))))</f>
        <v/>
      </c>
      <c r="Z45" s="36">
        <f>IF(OR('User Input'!$B$43="none",'User Input'!$B$43=""),1,IF('User Input'!$B$43="minor",IF(IFERROR(MATCH(Profiles!W46,{"None","Light","Medium","Heavy"},0)-1,0)&gt;=3,0.7,IF(IFERROR(MATCH(Profiles!W46,{"None","Light","Medium","Heavy"},0)-1,0)&gt;=2,0.85,1)),IF('User Input'!$B$43="joint",IF(OR(IFERROR(MATCH(Profiles!W46,{"None","Light","Medium","Heavy"},0)-1,0)&gt;=3,IFERROR(MATCH(Profiles!AB46,{"Low","Medium","High"},0)-1,0)&gt;=2),0.5,IF(OR(IFERROR(MATCH(Profiles!W46,{"None","Light","Medium","Heavy"},0)-1,0)&gt;=2,IFERROR(MATCH(Profiles!AB46,{"Low","Medium","High"},0)-1,0)&gt;=1),0.75,1)),IF(OR(IFERROR(MATCH(Profiles!W46,{"None","Light","Medium","Heavy"},0)-1,0)&gt;=2,IFERROR(MATCH(Profiles!AB46,{"Low","Medium","High"},0)-1,0)&gt;=2),0.3,IF(OR(IFERROR(MATCH(Profiles!W46,{"None","Light","Medium","Heavy"},0)-1,0)&gt;=1,IFERROR(MATCH(Profiles!AB46,{"Low","Medium","High"},0)-1,0)&gt;=1),0.6,0.9)))))</f>
        <v/>
      </c>
    </row>
    <row r="46" ht="15" customHeight="1" s="37">
      <c r="A46" s="59">
        <f>Profiles!A47</f>
        <v/>
      </c>
      <c r="B46" s="59">
        <f>Profiles!B47</f>
        <v/>
      </c>
      <c r="C46" s="59">
        <f>Profiles!C47</f>
        <v/>
      </c>
      <c r="D46" s="59">
        <f>Profiles!D47</f>
        <v/>
      </c>
      <c r="E46" s="60">
        <f>IF(ISNUMBER(Profiles!E47),IF(ISNUMBER(Profiles!F47),MAX(0,1-(MAX(0,ABS('User Input'!$B$9-Profiles!E47)-Profiles!F47))/Profiles!F47/3),MAX(0,1-ABS('User Input'!$B$9-Profiles!E47)/(Profiles!E47*0.1)/3)),0.5)</f>
        <v/>
      </c>
      <c r="F46" s="60">
        <f>IF(ISNUMBER(Profiles!G47),IF(ISNUMBER(Profiles!H47),MAX(0,1-(MAX(0,ABS('User Input'!$B$10-Profiles!G47)-Profiles!H47))/Profiles!H47/3),MAX(0,1-ABS('User Input'!$B$10-Profiles!G47)/(Profiles!G47*0.15)/3)),0.5)</f>
        <v/>
      </c>
      <c r="G46" s="60">
        <f>IF(ISNUMBER(Profiles!J47),MAX(0,1-ABS('User Input'!$B$12-Profiles!J47)/5/3),0.5)</f>
        <v/>
      </c>
      <c r="H46" s="60">
        <f>IF(ISNUMBER(Profiles!K47),MAX(0,1-ABS('User Input'!$B$14-Profiles!K47)/0.03/3),"n/a")</f>
        <v/>
      </c>
      <c r="I46" s="61">
        <f>100*MAX(0,1-(MAX(0,Profiles!M47-'User Input'!$B$17)+0.5*MAX(0,'User Input'!$B$17-Profiles!M47)+MAX(0,Profiles!N47-'User Input'!$B$18)+0.5*MAX(0,'User Input'!$B$18-Profiles!N47)+MAX(0,Profiles!O47-'User Input'!$B$19)+0.5*MAX(0,'User Input'!$B$19-Profiles!O47)+MAX(0,Profiles!P47-'User Input'!$B$20)+0.5*MAX(0,'User Input'!$B$20-Profiles!P47)+MAX(0,Profiles!Q47-'User Input'!$B$21)+0.5*MAX(0,'User Input'!$B$21-Profiles!Q47)+MAX(0,Profiles!S47-'User Input'!$B$22)+0.5*MAX(0,'User Input'!$B$22-Profiles!S47)+MAX(0,Profiles!T47-'User Input'!$B$23)+0.5*MAX(0,'User Input'!$B$23-Profiles!T47)+MAX(0,Profiles!U47-'User Input'!$B$24)+0.5*MAX(0,'User Input'!$B$24-Profiles!U47))/40)</f>
        <v/>
      </c>
      <c r="J46" s="61">
        <f>ROUND(60*(E46+F46+G46+IFERROR(VALUE(H46),(E46+F46+G46)/3))/4 + 0.4*I46,1)</f>
        <v/>
      </c>
      <c r="K46" s="60">
        <f>IF(OR(AND('User Input'!$B$6="M",Profiles!$AG47="M"),AND('User Input'!$B$6="F",Profiles!$AG47="F")),1,0)</f>
        <v/>
      </c>
      <c r="L46" s="60">
        <f>IF('User Input'!$B$27="Either",(IF(Profiles!V47&gt;=4,1,0.3)+IF(OR(Profiles!V47&lt;=2,ISNUMBER(SEARCH("Individual",Profiles!D47))),1,0.3))/2,IF('User Input'!$B$27="Team",IF(Profiles!V47&gt;=4,1,0.3),IF(OR(Profiles!V47&lt;=2,ISNUMBER(SEARCH("Individual",Profiles!D47))),1,0.3)))</f>
        <v/>
      </c>
      <c r="M46" s="60">
        <f>IF(IFERROR(MATCH(Profiles!W47,{"None","Light","Medium","Heavy"},0)-1,0)&lt;=IFERROR(MATCH('User Input'!$B$28,{"None","Light","Medium","Heavy"},0)-1,3),1,MAX(0,1-0.4*(IFERROR(MATCH(Profiles!W47,{"None","Light","Medium","Heavy"},0)-1,0)-IFERROR(MATCH('User Input'!$B$28,{"None","Light","Medium","Heavy"},0)-1,3))))</f>
        <v/>
      </c>
      <c r="N46" s="60">
        <f>IF('User Input'!$B$29="neutral",1,IF('User Input'!$B$29="essential",IF(ISNUMBER(SEARCH("Outdoor",Profiles!X47)),1,0.3),IF('User Input'!$B$29="nice",IF(ISNUMBER(SEARCH("Outdoor",Profiles!X47)),1,0.65),IF('User Input'!$B$29="indoor",IF(ISNUMBER(SEARCH("Indoor",Profiles!X47)),1,0.4),1))))</f>
        <v/>
      </c>
      <c r="O46" s="60">
        <f>IF('User Input'!$B$30="Yes",1,IF(Profiles!Y47="Yes",0,1))</f>
        <v/>
      </c>
      <c r="P46" s="60">
        <f>IF(IFERROR(MATCH(Profiles!Z47,{"Low","Medium","High"},0),2)&lt;=IFERROR(MATCH('User Input'!$B$31,{"Low","Medium","High"},0),2),1,MAX(0,1-0.4*(IFERROR(MATCH(Profiles!Z47,{"Low","Medium","High"},0),2)-IFERROR(MATCH('User Input'!$B$31,{"Low","Medium","High"},0),2))))</f>
        <v/>
      </c>
      <c r="Q46" s="60">
        <f>IF('User Input'!$B$32="Yes",IF(ISNUMBER(Profiles!AC47),Profiles!AC47/10,0.5),1)</f>
        <v/>
      </c>
      <c r="R46" s="61">
        <f>IF(OR(K46=0,O46=0),0,ROUND(MIN(100,100*(K46*0.1+L46*0.2+M46*0.2+N46*0.1+P46*0.15+Q46*0.25)*W46*X46*Y46*Z46),1))</f>
        <v/>
      </c>
      <c r="S46" s="61">
        <f>IF(R46=0,0,ROUND(0.5*J46+0.5*R46,1))</f>
        <v/>
      </c>
      <c r="T46" s="36">
        <f>J46-ROW()/1000000</f>
        <v/>
      </c>
      <c r="U46" s="36">
        <f>R46-ROW()/1000000</f>
        <v/>
      </c>
      <c r="V46" s="36">
        <f>S46-ROW()/1000000</f>
        <v/>
      </c>
      <c r="W46" s="36">
        <f>IF(OR(AND(OR(Profiles!D47="Team field",Profiles!D47="Team field contact",Profiles!D47="Team field stick"),'User Input'!$B$34="Yes"),AND(OR(Profiles!D47="Team court",Profiles!D47="Team court contact"),'User Input'!$B$35="Yes"),AND(Profiles!D47="Individual racquet",'User Input'!$B$36="Yes"),AND(OR(Profiles!D47="Combat striking",Profiles!D47="Combat grappling",Profiles!D47="Combat mixed"),'User Input'!$B$37="Yes"),AND(OR(Profiles!D47="Team water contact",Profiles!D47="Individual water"),'User Input'!$B$38="Yes"),AND(OR(Profiles!D47="Endurance individual",Profiles!D47="Endurance individual / pair",Profiles!D47="Endurance individual / pursuit",Profiles!D47="Endurance team / pair",Profiles!D47="Endurance multi"),'User Input'!$B$39="Yes"),AND(OR(Profiles!D47="Strength individual",Profiles!D47="Power-throw individual"),'User Input'!$B$40="Yes"),AND(OR(Profiles!D47="Individual technical",Profiles!D47="Individual aesthetic",Profiles!D47="Team precision"),'User Input'!$B$41="Yes")),1.15,1)</f>
        <v/>
      </c>
      <c r="X46" s="36">
        <f>IF('User Input'!$B$33&lt;&gt;"none",1,IF(IFERROR(VALUE(TRIM(MID(SUBSTITUTE(SUBSTITUTE(Profiles!AA47,"–","-"),"-",REPT(" ",100)),100,100)))&lt;=14,FALSE),0.7,1))</f>
        <v/>
      </c>
      <c r="Y46" s="36">
        <f>IF(OR('User Input'!$B$42="under30",'User Input'!$B$42=""),1,IF('User Input'!$B$42="30to45",IF((IFERROR(MATCH(Profiles!W47,{"None","Light","Medium","Heavy"},0)-1,0)+IFERROR(MATCH(Profiles!AB47,{"Low","Medium","High"},0)-1,0))&gt;=5,0.85,1),IF('User Input'!$B$42="46to60",IF((IFERROR(MATCH(Profiles!W47,{"None","Light","Medium","Heavy"},0)-1,0)+IFERROR(MATCH(Profiles!AB47,{"Low","Medium","High"},0)-1,0))&gt;=5,0.65,IF((IFERROR(MATCH(Profiles!W47,{"None","Light","Medium","Heavy"},0)-1,0)+IFERROR(MATCH(Profiles!AB47,{"Low","Medium","High"},0)-1,0))&gt;=4,0.8,IF((IFERROR(MATCH(Profiles!W47,{"None","Light","Medium","Heavy"},0)-1,0)+IFERROR(MATCH(Profiles!AB47,{"Low","Medium","High"},0)-1,0))&gt;=3,0.9,1))),IF((IFERROR(MATCH(Profiles!W47,{"None","Light","Medium","Heavy"},0)-1,0)+IFERROR(MATCH(Profiles!AB47,{"Low","Medium","High"},0)-1,0))&gt;=5,0.4,IF((IFERROR(MATCH(Profiles!W47,{"None","Light","Medium","Heavy"},0)-1,0)+IFERROR(MATCH(Profiles!AB47,{"Low","Medium","High"},0)-1,0))&gt;=4,0.6,IF((IFERROR(MATCH(Profiles!W47,{"None","Light","Medium","Heavy"},0)-1,0)+IFERROR(MATCH(Profiles!AB47,{"Low","Medium","High"},0)-1,0))&gt;=3,0.75,IF((IFERROR(MATCH(Profiles!W47,{"None","Light","Medium","Heavy"},0)-1,0)+IFERROR(MATCH(Profiles!AB47,{"Low","Medium","High"},0)-1,0))&gt;=2,0.85,1)))))))</f>
        <v/>
      </c>
      <c r="Z46" s="36">
        <f>IF(OR('User Input'!$B$43="none",'User Input'!$B$43=""),1,IF('User Input'!$B$43="minor",IF(IFERROR(MATCH(Profiles!W47,{"None","Light","Medium","Heavy"},0)-1,0)&gt;=3,0.7,IF(IFERROR(MATCH(Profiles!W47,{"None","Light","Medium","Heavy"},0)-1,0)&gt;=2,0.85,1)),IF('User Input'!$B$43="joint",IF(OR(IFERROR(MATCH(Profiles!W47,{"None","Light","Medium","Heavy"},0)-1,0)&gt;=3,IFERROR(MATCH(Profiles!AB47,{"Low","Medium","High"},0)-1,0)&gt;=2),0.5,IF(OR(IFERROR(MATCH(Profiles!W47,{"None","Light","Medium","Heavy"},0)-1,0)&gt;=2,IFERROR(MATCH(Profiles!AB47,{"Low","Medium","High"},0)-1,0)&gt;=1),0.75,1)),IF(OR(IFERROR(MATCH(Profiles!W47,{"None","Light","Medium","Heavy"},0)-1,0)&gt;=2,IFERROR(MATCH(Profiles!AB47,{"Low","Medium","High"},0)-1,0)&gt;=2),0.3,IF(OR(IFERROR(MATCH(Profiles!W47,{"None","Light","Medium","Heavy"},0)-1,0)&gt;=1,IFERROR(MATCH(Profiles!AB47,{"Low","Medium","High"},0)-1,0)&gt;=1),0.6,0.9)))))</f>
        <v/>
      </c>
    </row>
    <row r="47" ht="23.25" customHeight="1" s="37">
      <c r="A47" s="59">
        <f>Profiles!A48</f>
        <v/>
      </c>
      <c r="B47" s="59">
        <f>Profiles!B48</f>
        <v/>
      </c>
      <c r="C47" s="59">
        <f>Profiles!C48</f>
        <v/>
      </c>
      <c r="D47" s="59">
        <f>Profiles!D48</f>
        <v/>
      </c>
      <c r="E47" s="60">
        <f>IF(ISNUMBER(Profiles!E48),IF(ISNUMBER(Profiles!F48),MAX(0,1-(MAX(0,ABS('User Input'!$B$9-Profiles!E48)-Profiles!F48))/Profiles!F48/3),MAX(0,1-ABS('User Input'!$B$9-Profiles!E48)/(Profiles!E48*0.1)/3)),0.5)</f>
        <v/>
      </c>
      <c r="F47" s="60">
        <f>IF(ISNUMBER(Profiles!G48),IF(ISNUMBER(Profiles!H48),MAX(0,1-(MAX(0,ABS('User Input'!$B$10-Profiles!G48)-Profiles!H48))/Profiles!H48/3),MAX(0,1-ABS('User Input'!$B$10-Profiles!G48)/(Profiles!G48*0.15)/3)),0.5)</f>
        <v/>
      </c>
      <c r="G47" s="60">
        <f>IF(ISNUMBER(Profiles!J48),MAX(0,1-ABS('User Input'!$B$12-Profiles!J48)/5/3),0.5)</f>
        <v/>
      </c>
      <c r="H47" s="60">
        <f>IF(ISNUMBER(Profiles!K48),MAX(0,1-ABS('User Input'!$B$14-Profiles!K48)/0.03/3),"n/a")</f>
        <v/>
      </c>
      <c r="I47" s="61">
        <f>100*MAX(0,1-(MAX(0,Profiles!M48-'User Input'!$B$17)+0.5*MAX(0,'User Input'!$B$17-Profiles!M48)+MAX(0,Profiles!N48-'User Input'!$B$18)+0.5*MAX(0,'User Input'!$B$18-Profiles!N48)+MAX(0,Profiles!O48-'User Input'!$B$19)+0.5*MAX(0,'User Input'!$B$19-Profiles!O48)+MAX(0,Profiles!P48-'User Input'!$B$20)+0.5*MAX(0,'User Input'!$B$20-Profiles!P48)+MAX(0,Profiles!Q48-'User Input'!$B$21)+0.5*MAX(0,'User Input'!$B$21-Profiles!Q48)+MAX(0,Profiles!S48-'User Input'!$B$22)+0.5*MAX(0,'User Input'!$B$22-Profiles!S48)+MAX(0,Profiles!T48-'User Input'!$B$23)+0.5*MAX(0,'User Input'!$B$23-Profiles!T48)+MAX(0,Profiles!U48-'User Input'!$B$24)+0.5*MAX(0,'User Input'!$B$24-Profiles!U48))/40)</f>
        <v/>
      </c>
      <c r="J47" s="61">
        <f>ROUND(60*(E47+F47+G47+IFERROR(VALUE(H47),(E47+F47+G47)/3))/4 + 0.4*I47,1)</f>
        <v/>
      </c>
      <c r="K47" s="60">
        <f>IF(OR(AND('User Input'!$B$6="M",Profiles!$AG48="M"),AND('User Input'!$B$6="F",Profiles!$AG48="F")),1,0)</f>
        <v/>
      </c>
      <c r="L47" s="60">
        <f>IF('User Input'!$B$27="Either",(IF(Profiles!V48&gt;=4,1,0.3)+IF(OR(Profiles!V48&lt;=2,ISNUMBER(SEARCH("Individual",Profiles!D48))),1,0.3))/2,IF('User Input'!$B$27="Team",IF(Profiles!V48&gt;=4,1,0.3),IF(OR(Profiles!V48&lt;=2,ISNUMBER(SEARCH("Individual",Profiles!D48))),1,0.3)))</f>
        <v/>
      </c>
      <c r="M47" s="60">
        <f>IF(IFERROR(MATCH(Profiles!W48,{"None","Light","Medium","Heavy"},0)-1,0)&lt;=IFERROR(MATCH('User Input'!$B$28,{"None","Light","Medium","Heavy"},0)-1,3),1,MAX(0,1-0.4*(IFERROR(MATCH(Profiles!W48,{"None","Light","Medium","Heavy"},0)-1,0)-IFERROR(MATCH('User Input'!$B$28,{"None","Light","Medium","Heavy"},0)-1,3))))</f>
        <v/>
      </c>
      <c r="N47" s="60">
        <f>IF('User Input'!$B$29="neutral",1,IF('User Input'!$B$29="essential",IF(ISNUMBER(SEARCH("Outdoor",Profiles!X48)),1,0.3),IF('User Input'!$B$29="nice",IF(ISNUMBER(SEARCH("Outdoor",Profiles!X48)),1,0.65),IF('User Input'!$B$29="indoor",IF(ISNUMBER(SEARCH("Indoor",Profiles!X48)),1,0.4),1))))</f>
        <v/>
      </c>
      <c r="O47" s="60">
        <f>IF('User Input'!$B$30="Yes",1,IF(Profiles!Y48="Yes",0,1))</f>
        <v/>
      </c>
      <c r="P47" s="60">
        <f>IF(IFERROR(MATCH(Profiles!Z48,{"Low","Medium","High"},0),2)&lt;=IFERROR(MATCH('User Input'!$B$31,{"Low","Medium","High"},0),2),1,MAX(0,1-0.4*(IFERROR(MATCH(Profiles!Z48,{"Low","Medium","High"},0),2)-IFERROR(MATCH('User Input'!$B$31,{"Low","Medium","High"},0),2))))</f>
        <v/>
      </c>
      <c r="Q47" s="60">
        <f>IF('User Input'!$B$32="Yes",IF(ISNUMBER(Profiles!AC48),Profiles!AC48/10,0.5),1)</f>
        <v/>
      </c>
      <c r="R47" s="61">
        <f>IF(OR(K47=0,O47=0),0,ROUND(MIN(100,100*(K47*0.1+L47*0.2+M47*0.2+N47*0.1+P47*0.15+Q47*0.25)*W47*X47*Y47*Z47),1))</f>
        <v/>
      </c>
      <c r="S47" s="61">
        <f>IF(R47=0,0,ROUND(0.5*J47+0.5*R47,1))</f>
        <v/>
      </c>
      <c r="T47" s="36">
        <f>J47-ROW()/1000000</f>
        <v/>
      </c>
      <c r="U47" s="36">
        <f>R47-ROW()/1000000</f>
        <v/>
      </c>
      <c r="V47" s="36">
        <f>S47-ROW()/1000000</f>
        <v/>
      </c>
      <c r="W47" s="36">
        <f>IF(OR(AND(OR(Profiles!D48="Team field",Profiles!D48="Team field contact",Profiles!D48="Team field stick"),'User Input'!$B$34="Yes"),AND(OR(Profiles!D48="Team court",Profiles!D48="Team court contact"),'User Input'!$B$35="Yes"),AND(Profiles!D48="Individual racquet",'User Input'!$B$36="Yes"),AND(OR(Profiles!D48="Combat striking",Profiles!D48="Combat grappling",Profiles!D48="Combat mixed"),'User Input'!$B$37="Yes"),AND(OR(Profiles!D48="Team water contact",Profiles!D48="Individual water"),'User Input'!$B$38="Yes"),AND(OR(Profiles!D48="Endurance individual",Profiles!D48="Endurance individual / pair",Profiles!D48="Endurance individual / pursuit",Profiles!D48="Endurance team / pair",Profiles!D48="Endurance multi"),'User Input'!$B$39="Yes"),AND(OR(Profiles!D48="Strength individual",Profiles!D48="Power-throw individual"),'User Input'!$B$40="Yes"),AND(OR(Profiles!D48="Individual technical",Profiles!D48="Individual aesthetic",Profiles!D48="Team precision"),'User Input'!$B$41="Yes")),1.15,1)</f>
        <v/>
      </c>
      <c r="X47" s="36">
        <f>IF('User Input'!$B$33&lt;&gt;"none",1,IF(IFERROR(VALUE(TRIM(MID(SUBSTITUTE(SUBSTITUTE(Profiles!AA48,"–","-"),"-",REPT(" ",100)),100,100)))&lt;=14,FALSE),0.7,1))</f>
        <v/>
      </c>
      <c r="Y47" s="36">
        <f>IF(OR('User Input'!$B$42="under30",'User Input'!$B$42=""),1,IF('User Input'!$B$42="30to45",IF((IFERROR(MATCH(Profiles!W48,{"None","Light","Medium","Heavy"},0)-1,0)+IFERROR(MATCH(Profiles!AB48,{"Low","Medium","High"},0)-1,0))&gt;=5,0.85,1),IF('User Input'!$B$42="46to60",IF((IFERROR(MATCH(Profiles!W48,{"None","Light","Medium","Heavy"},0)-1,0)+IFERROR(MATCH(Profiles!AB48,{"Low","Medium","High"},0)-1,0))&gt;=5,0.65,IF((IFERROR(MATCH(Profiles!W48,{"None","Light","Medium","Heavy"},0)-1,0)+IFERROR(MATCH(Profiles!AB48,{"Low","Medium","High"},0)-1,0))&gt;=4,0.8,IF((IFERROR(MATCH(Profiles!W48,{"None","Light","Medium","Heavy"},0)-1,0)+IFERROR(MATCH(Profiles!AB48,{"Low","Medium","High"},0)-1,0))&gt;=3,0.9,1))),IF((IFERROR(MATCH(Profiles!W48,{"None","Light","Medium","Heavy"},0)-1,0)+IFERROR(MATCH(Profiles!AB48,{"Low","Medium","High"},0)-1,0))&gt;=5,0.4,IF((IFERROR(MATCH(Profiles!W48,{"None","Light","Medium","Heavy"},0)-1,0)+IFERROR(MATCH(Profiles!AB48,{"Low","Medium","High"},0)-1,0))&gt;=4,0.6,IF((IFERROR(MATCH(Profiles!W48,{"None","Light","Medium","Heavy"},0)-1,0)+IFERROR(MATCH(Profiles!AB48,{"Low","Medium","High"},0)-1,0))&gt;=3,0.75,IF((IFERROR(MATCH(Profiles!W48,{"None","Light","Medium","Heavy"},0)-1,0)+IFERROR(MATCH(Profiles!AB48,{"Low","Medium","High"},0)-1,0))&gt;=2,0.85,1)))))))</f>
        <v/>
      </c>
      <c r="Z47" s="36">
        <f>IF(OR('User Input'!$B$43="none",'User Input'!$B$43=""),1,IF('User Input'!$B$43="minor",IF(IFERROR(MATCH(Profiles!W48,{"None","Light","Medium","Heavy"},0)-1,0)&gt;=3,0.7,IF(IFERROR(MATCH(Profiles!W48,{"None","Light","Medium","Heavy"},0)-1,0)&gt;=2,0.85,1)),IF('User Input'!$B$43="joint",IF(OR(IFERROR(MATCH(Profiles!W48,{"None","Light","Medium","Heavy"},0)-1,0)&gt;=3,IFERROR(MATCH(Profiles!AB48,{"Low","Medium","High"},0)-1,0)&gt;=2),0.5,IF(OR(IFERROR(MATCH(Profiles!W48,{"None","Light","Medium","Heavy"},0)-1,0)&gt;=2,IFERROR(MATCH(Profiles!AB48,{"Low","Medium","High"},0)-1,0)&gt;=1),0.75,1)),IF(OR(IFERROR(MATCH(Profiles!W48,{"None","Light","Medium","Heavy"},0)-1,0)&gt;=2,IFERROR(MATCH(Profiles!AB48,{"Low","Medium","High"},0)-1,0)&gt;=2),0.3,IF(OR(IFERROR(MATCH(Profiles!W48,{"None","Light","Medium","Heavy"},0)-1,0)&gt;=1,IFERROR(MATCH(Profiles!AB48,{"Low","Medium","High"},0)-1,0)&gt;=1),0.6,0.9)))))</f>
        <v/>
      </c>
    </row>
    <row r="48" ht="23.25" customHeight="1" s="37">
      <c r="A48" s="59">
        <f>Profiles!A49</f>
        <v/>
      </c>
      <c r="B48" s="59">
        <f>Profiles!B49</f>
        <v/>
      </c>
      <c r="C48" s="59">
        <f>Profiles!C49</f>
        <v/>
      </c>
      <c r="D48" s="59">
        <f>Profiles!D49</f>
        <v/>
      </c>
      <c r="E48" s="60">
        <f>IF(ISNUMBER(Profiles!E49),IF(ISNUMBER(Profiles!F49),MAX(0,1-(MAX(0,ABS('User Input'!$B$9-Profiles!E49)-Profiles!F49))/Profiles!F49/3),MAX(0,1-ABS('User Input'!$B$9-Profiles!E49)/(Profiles!E49*0.1)/3)),0.5)</f>
        <v/>
      </c>
      <c r="F48" s="60">
        <f>IF(ISNUMBER(Profiles!G49),IF(ISNUMBER(Profiles!H49),MAX(0,1-(MAX(0,ABS('User Input'!$B$10-Profiles!G49)-Profiles!H49))/Profiles!H49/3),MAX(0,1-ABS('User Input'!$B$10-Profiles!G49)/(Profiles!G49*0.15)/3)),0.5)</f>
        <v/>
      </c>
      <c r="G48" s="60">
        <f>IF(ISNUMBER(Profiles!J49),MAX(0,1-ABS('User Input'!$B$12-Profiles!J49)/5/3),0.5)</f>
        <v/>
      </c>
      <c r="H48" s="60">
        <f>IF(ISNUMBER(Profiles!K49),MAX(0,1-ABS('User Input'!$B$14-Profiles!K49)/0.03/3),"n/a")</f>
        <v/>
      </c>
      <c r="I48" s="61">
        <f>100*MAX(0,1-(MAX(0,Profiles!M49-'User Input'!$B$17)+0.5*MAX(0,'User Input'!$B$17-Profiles!M49)+MAX(0,Profiles!N49-'User Input'!$B$18)+0.5*MAX(0,'User Input'!$B$18-Profiles!N49)+MAX(0,Profiles!O49-'User Input'!$B$19)+0.5*MAX(0,'User Input'!$B$19-Profiles!O49)+MAX(0,Profiles!P49-'User Input'!$B$20)+0.5*MAX(0,'User Input'!$B$20-Profiles!P49)+MAX(0,Profiles!Q49-'User Input'!$B$21)+0.5*MAX(0,'User Input'!$B$21-Profiles!Q49)+MAX(0,Profiles!S49-'User Input'!$B$22)+0.5*MAX(0,'User Input'!$B$22-Profiles!S49)+MAX(0,Profiles!T49-'User Input'!$B$23)+0.5*MAX(0,'User Input'!$B$23-Profiles!T49)+MAX(0,Profiles!U49-'User Input'!$B$24)+0.5*MAX(0,'User Input'!$B$24-Profiles!U49))/40)</f>
        <v/>
      </c>
      <c r="J48" s="61">
        <f>ROUND(60*(E48+F48+G48+IFERROR(VALUE(H48),(E48+F48+G48)/3))/4 + 0.4*I48,1)</f>
        <v/>
      </c>
      <c r="K48" s="60">
        <f>IF(OR(AND('User Input'!$B$6="M",Profiles!$AG49="M"),AND('User Input'!$B$6="F",Profiles!$AG49="F")),1,0)</f>
        <v/>
      </c>
      <c r="L48" s="60">
        <f>IF('User Input'!$B$27="Either",(IF(Profiles!V49&gt;=4,1,0.3)+IF(OR(Profiles!V49&lt;=2,ISNUMBER(SEARCH("Individual",Profiles!D49))),1,0.3))/2,IF('User Input'!$B$27="Team",IF(Profiles!V49&gt;=4,1,0.3),IF(OR(Profiles!V49&lt;=2,ISNUMBER(SEARCH("Individual",Profiles!D49))),1,0.3)))</f>
        <v/>
      </c>
      <c r="M48" s="60">
        <f>IF(IFERROR(MATCH(Profiles!W49,{"None","Light","Medium","Heavy"},0)-1,0)&lt;=IFERROR(MATCH('User Input'!$B$28,{"None","Light","Medium","Heavy"},0)-1,3),1,MAX(0,1-0.4*(IFERROR(MATCH(Profiles!W49,{"None","Light","Medium","Heavy"},0)-1,0)-IFERROR(MATCH('User Input'!$B$28,{"None","Light","Medium","Heavy"},0)-1,3))))</f>
        <v/>
      </c>
      <c r="N48" s="60">
        <f>IF('User Input'!$B$29="neutral",1,IF('User Input'!$B$29="essential",IF(ISNUMBER(SEARCH("Outdoor",Profiles!X49)),1,0.3),IF('User Input'!$B$29="nice",IF(ISNUMBER(SEARCH("Outdoor",Profiles!X49)),1,0.65),IF('User Input'!$B$29="indoor",IF(ISNUMBER(SEARCH("Indoor",Profiles!X49)),1,0.4),1))))</f>
        <v/>
      </c>
      <c r="O48" s="60">
        <f>IF('User Input'!$B$30="Yes",1,IF(Profiles!Y49="Yes",0,1))</f>
        <v/>
      </c>
      <c r="P48" s="60">
        <f>IF(IFERROR(MATCH(Profiles!Z49,{"Low","Medium","High"},0),2)&lt;=IFERROR(MATCH('User Input'!$B$31,{"Low","Medium","High"},0),2),1,MAX(0,1-0.4*(IFERROR(MATCH(Profiles!Z49,{"Low","Medium","High"},0),2)-IFERROR(MATCH('User Input'!$B$31,{"Low","Medium","High"},0),2))))</f>
        <v/>
      </c>
      <c r="Q48" s="60">
        <f>IF('User Input'!$B$32="Yes",IF(ISNUMBER(Profiles!AC49),Profiles!AC49/10,0.5),1)</f>
        <v/>
      </c>
      <c r="R48" s="61">
        <f>IF(OR(K48=0,O48=0),0,ROUND(MIN(100,100*(K48*0.1+L48*0.2+M48*0.2+N48*0.1+P48*0.15+Q48*0.25)*W48*X48*Y48*Z48),1))</f>
        <v/>
      </c>
      <c r="S48" s="61">
        <f>IF(R48=0,0,ROUND(0.5*J48+0.5*R48,1))</f>
        <v/>
      </c>
      <c r="T48" s="36">
        <f>J48-ROW()/1000000</f>
        <v/>
      </c>
      <c r="U48" s="36">
        <f>R48-ROW()/1000000</f>
        <v/>
      </c>
      <c r="V48" s="36">
        <f>S48-ROW()/1000000</f>
        <v/>
      </c>
      <c r="W48" s="36">
        <f>IF(OR(AND(OR(Profiles!D49="Team field",Profiles!D49="Team field contact",Profiles!D49="Team field stick"),'User Input'!$B$34="Yes"),AND(OR(Profiles!D49="Team court",Profiles!D49="Team court contact"),'User Input'!$B$35="Yes"),AND(Profiles!D49="Individual racquet",'User Input'!$B$36="Yes"),AND(OR(Profiles!D49="Combat striking",Profiles!D49="Combat grappling",Profiles!D49="Combat mixed"),'User Input'!$B$37="Yes"),AND(OR(Profiles!D49="Team water contact",Profiles!D49="Individual water"),'User Input'!$B$38="Yes"),AND(OR(Profiles!D49="Endurance individual",Profiles!D49="Endurance individual / pair",Profiles!D49="Endurance individual / pursuit",Profiles!D49="Endurance team / pair",Profiles!D49="Endurance multi"),'User Input'!$B$39="Yes"),AND(OR(Profiles!D49="Strength individual",Profiles!D49="Power-throw individual"),'User Input'!$B$40="Yes"),AND(OR(Profiles!D49="Individual technical",Profiles!D49="Individual aesthetic",Profiles!D49="Team precision"),'User Input'!$B$41="Yes")),1.15,1)</f>
        <v/>
      </c>
      <c r="X48" s="36">
        <f>IF('User Input'!$B$33&lt;&gt;"none",1,IF(IFERROR(VALUE(TRIM(MID(SUBSTITUTE(SUBSTITUTE(Profiles!AA49,"–","-"),"-",REPT(" ",100)),100,100)))&lt;=14,FALSE),0.7,1))</f>
        <v/>
      </c>
      <c r="Y48" s="36">
        <f>IF(OR('User Input'!$B$42="under30",'User Input'!$B$42=""),1,IF('User Input'!$B$42="30to45",IF((IFERROR(MATCH(Profiles!W49,{"None","Light","Medium","Heavy"},0)-1,0)+IFERROR(MATCH(Profiles!AB49,{"Low","Medium","High"},0)-1,0))&gt;=5,0.85,1),IF('User Input'!$B$42="46to60",IF((IFERROR(MATCH(Profiles!W49,{"None","Light","Medium","Heavy"},0)-1,0)+IFERROR(MATCH(Profiles!AB49,{"Low","Medium","High"},0)-1,0))&gt;=5,0.65,IF((IFERROR(MATCH(Profiles!W49,{"None","Light","Medium","Heavy"},0)-1,0)+IFERROR(MATCH(Profiles!AB49,{"Low","Medium","High"},0)-1,0))&gt;=4,0.8,IF((IFERROR(MATCH(Profiles!W49,{"None","Light","Medium","Heavy"},0)-1,0)+IFERROR(MATCH(Profiles!AB49,{"Low","Medium","High"},0)-1,0))&gt;=3,0.9,1))),IF((IFERROR(MATCH(Profiles!W49,{"None","Light","Medium","Heavy"},0)-1,0)+IFERROR(MATCH(Profiles!AB49,{"Low","Medium","High"},0)-1,0))&gt;=5,0.4,IF((IFERROR(MATCH(Profiles!W49,{"None","Light","Medium","Heavy"},0)-1,0)+IFERROR(MATCH(Profiles!AB49,{"Low","Medium","High"},0)-1,0))&gt;=4,0.6,IF((IFERROR(MATCH(Profiles!W49,{"None","Light","Medium","Heavy"},0)-1,0)+IFERROR(MATCH(Profiles!AB49,{"Low","Medium","High"},0)-1,0))&gt;=3,0.75,IF((IFERROR(MATCH(Profiles!W49,{"None","Light","Medium","Heavy"},0)-1,0)+IFERROR(MATCH(Profiles!AB49,{"Low","Medium","High"},0)-1,0))&gt;=2,0.85,1)))))))</f>
        <v/>
      </c>
      <c r="Z48" s="36">
        <f>IF(OR('User Input'!$B$43="none",'User Input'!$B$43=""),1,IF('User Input'!$B$43="minor",IF(IFERROR(MATCH(Profiles!W49,{"None","Light","Medium","Heavy"},0)-1,0)&gt;=3,0.7,IF(IFERROR(MATCH(Profiles!W49,{"None","Light","Medium","Heavy"},0)-1,0)&gt;=2,0.85,1)),IF('User Input'!$B$43="joint",IF(OR(IFERROR(MATCH(Profiles!W49,{"None","Light","Medium","Heavy"},0)-1,0)&gt;=3,IFERROR(MATCH(Profiles!AB49,{"Low","Medium","High"},0)-1,0)&gt;=2),0.5,IF(OR(IFERROR(MATCH(Profiles!W49,{"None","Light","Medium","Heavy"},0)-1,0)&gt;=2,IFERROR(MATCH(Profiles!AB49,{"Low","Medium","High"},0)-1,0)&gt;=1),0.75,1)),IF(OR(IFERROR(MATCH(Profiles!W49,{"None","Light","Medium","Heavy"},0)-1,0)&gt;=2,IFERROR(MATCH(Profiles!AB49,{"Low","Medium","High"},0)-1,0)&gt;=2),0.3,IF(OR(IFERROR(MATCH(Profiles!W49,{"None","Light","Medium","Heavy"},0)-1,0)&gt;=1,IFERROR(MATCH(Profiles!AB49,{"Low","Medium","High"},0)-1,0)&gt;=1),0.6,0.9)))))</f>
        <v/>
      </c>
    </row>
    <row r="49" ht="23.25" customHeight="1" s="37">
      <c r="A49" s="59">
        <f>Profiles!A50</f>
        <v/>
      </c>
      <c r="B49" s="59">
        <f>Profiles!B50</f>
        <v/>
      </c>
      <c r="C49" s="59">
        <f>Profiles!C50</f>
        <v/>
      </c>
      <c r="D49" s="59">
        <f>Profiles!D50</f>
        <v/>
      </c>
      <c r="E49" s="60">
        <f>IF(ISNUMBER(Profiles!E50),IF(ISNUMBER(Profiles!F50),MAX(0,1-(MAX(0,ABS('User Input'!$B$9-Profiles!E50)-Profiles!F50))/Profiles!F50/3),MAX(0,1-ABS('User Input'!$B$9-Profiles!E50)/(Profiles!E50*0.1)/3)),0.5)</f>
        <v/>
      </c>
      <c r="F49" s="60">
        <f>IF(ISNUMBER(Profiles!G50),IF(ISNUMBER(Profiles!H50),MAX(0,1-(MAX(0,ABS('User Input'!$B$10-Profiles!G50)-Profiles!H50))/Profiles!H50/3),MAX(0,1-ABS('User Input'!$B$10-Profiles!G50)/(Profiles!G50*0.15)/3)),0.5)</f>
        <v/>
      </c>
      <c r="G49" s="60">
        <f>IF(ISNUMBER(Profiles!J50),MAX(0,1-ABS('User Input'!$B$12-Profiles!J50)/5/3),0.5)</f>
        <v/>
      </c>
      <c r="H49" s="60">
        <f>IF(ISNUMBER(Profiles!K50),MAX(0,1-ABS('User Input'!$B$14-Profiles!K50)/0.03/3),"n/a")</f>
        <v/>
      </c>
      <c r="I49" s="61">
        <f>100*MAX(0,1-(MAX(0,Profiles!M50-'User Input'!$B$17)+0.5*MAX(0,'User Input'!$B$17-Profiles!M50)+MAX(0,Profiles!N50-'User Input'!$B$18)+0.5*MAX(0,'User Input'!$B$18-Profiles!N50)+MAX(0,Profiles!O50-'User Input'!$B$19)+0.5*MAX(0,'User Input'!$B$19-Profiles!O50)+MAX(0,Profiles!P50-'User Input'!$B$20)+0.5*MAX(0,'User Input'!$B$20-Profiles!P50)+MAX(0,Profiles!Q50-'User Input'!$B$21)+0.5*MAX(0,'User Input'!$B$21-Profiles!Q50)+MAX(0,Profiles!S50-'User Input'!$B$22)+0.5*MAX(0,'User Input'!$B$22-Profiles!S50)+MAX(0,Profiles!T50-'User Input'!$B$23)+0.5*MAX(0,'User Input'!$B$23-Profiles!T50)+MAX(0,Profiles!U50-'User Input'!$B$24)+0.5*MAX(0,'User Input'!$B$24-Profiles!U50))/40)</f>
        <v/>
      </c>
      <c r="J49" s="61">
        <f>ROUND(60*(E49+F49+G49+IFERROR(VALUE(H49),(E49+F49+G49)/3))/4 + 0.4*I49,1)</f>
        <v/>
      </c>
      <c r="K49" s="60">
        <f>IF(OR(AND('User Input'!$B$6="M",Profiles!$AG50="M"),AND('User Input'!$B$6="F",Profiles!$AG50="F")),1,0)</f>
        <v/>
      </c>
      <c r="L49" s="60">
        <f>IF('User Input'!$B$27="Either",(IF(Profiles!V50&gt;=4,1,0.3)+IF(OR(Profiles!V50&lt;=2,ISNUMBER(SEARCH("Individual",Profiles!D50))),1,0.3))/2,IF('User Input'!$B$27="Team",IF(Profiles!V50&gt;=4,1,0.3),IF(OR(Profiles!V50&lt;=2,ISNUMBER(SEARCH("Individual",Profiles!D50))),1,0.3)))</f>
        <v/>
      </c>
      <c r="M49" s="60">
        <f>IF(IFERROR(MATCH(Profiles!W50,{"None","Light","Medium","Heavy"},0)-1,0)&lt;=IFERROR(MATCH('User Input'!$B$28,{"None","Light","Medium","Heavy"},0)-1,3),1,MAX(0,1-0.4*(IFERROR(MATCH(Profiles!W50,{"None","Light","Medium","Heavy"},0)-1,0)-IFERROR(MATCH('User Input'!$B$28,{"None","Light","Medium","Heavy"},0)-1,3))))</f>
        <v/>
      </c>
      <c r="N49" s="60">
        <f>IF('User Input'!$B$29="neutral",1,IF('User Input'!$B$29="essential",IF(ISNUMBER(SEARCH("Outdoor",Profiles!X50)),1,0.3),IF('User Input'!$B$29="nice",IF(ISNUMBER(SEARCH("Outdoor",Profiles!X50)),1,0.65),IF('User Input'!$B$29="indoor",IF(ISNUMBER(SEARCH("Indoor",Profiles!X50)),1,0.4),1))))</f>
        <v/>
      </c>
      <c r="O49" s="60">
        <f>IF('User Input'!$B$30="Yes",1,IF(Profiles!Y50="Yes",0,1))</f>
        <v/>
      </c>
      <c r="P49" s="60">
        <f>IF(IFERROR(MATCH(Profiles!Z50,{"Low","Medium","High"},0),2)&lt;=IFERROR(MATCH('User Input'!$B$31,{"Low","Medium","High"},0),2),1,MAX(0,1-0.4*(IFERROR(MATCH(Profiles!Z50,{"Low","Medium","High"},0),2)-IFERROR(MATCH('User Input'!$B$31,{"Low","Medium","High"},0),2))))</f>
        <v/>
      </c>
      <c r="Q49" s="60">
        <f>IF('User Input'!$B$32="Yes",IF(ISNUMBER(Profiles!AC50),Profiles!AC50/10,0.5),1)</f>
        <v/>
      </c>
      <c r="R49" s="61">
        <f>IF(OR(K49=0,O49=0),0,ROUND(MIN(100,100*(K49*0.1+L49*0.2+M49*0.2+N49*0.1+P49*0.15+Q49*0.25)*W49*X49*Y49*Z49),1))</f>
        <v/>
      </c>
      <c r="S49" s="61">
        <f>IF(R49=0,0,ROUND(0.5*J49+0.5*R49,1))</f>
        <v/>
      </c>
      <c r="T49" s="36">
        <f>J49-ROW()/1000000</f>
        <v/>
      </c>
      <c r="U49" s="36">
        <f>R49-ROW()/1000000</f>
        <v/>
      </c>
      <c r="V49" s="36">
        <f>S49-ROW()/1000000</f>
        <v/>
      </c>
      <c r="W49" s="36">
        <f>IF(OR(AND(OR(Profiles!D50="Team field",Profiles!D50="Team field contact",Profiles!D50="Team field stick"),'User Input'!$B$34="Yes"),AND(OR(Profiles!D50="Team court",Profiles!D50="Team court contact"),'User Input'!$B$35="Yes"),AND(Profiles!D50="Individual racquet",'User Input'!$B$36="Yes"),AND(OR(Profiles!D50="Combat striking",Profiles!D50="Combat grappling",Profiles!D50="Combat mixed"),'User Input'!$B$37="Yes"),AND(OR(Profiles!D50="Team water contact",Profiles!D50="Individual water"),'User Input'!$B$38="Yes"),AND(OR(Profiles!D50="Endurance individual",Profiles!D50="Endurance individual / pair",Profiles!D50="Endurance individual / pursuit",Profiles!D50="Endurance team / pair",Profiles!D50="Endurance multi"),'User Input'!$B$39="Yes"),AND(OR(Profiles!D50="Strength individual",Profiles!D50="Power-throw individual"),'User Input'!$B$40="Yes"),AND(OR(Profiles!D50="Individual technical",Profiles!D50="Individual aesthetic",Profiles!D50="Team precision"),'User Input'!$B$41="Yes")),1.15,1)</f>
        <v/>
      </c>
      <c r="X49" s="36">
        <f>IF('User Input'!$B$33&lt;&gt;"none",1,IF(IFERROR(VALUE(TRIM(MID(SUBSTITUTE(SUBSTITUTE(Profiles!AA50,"–","-"),"-",REPT(" ",100)),100,100)))&lt;=14,FALSE),0.7,1))</f>
        <v/>
      </c>
      <c r="Y49" s="36">
        <f>IF(OR('User Input'!$B$42="under30",'User Input'!$B$42=""),1,IF('User Input'!$B$42="30to45",IF((IFERROR(MATCH(Profiles!W50,{"None","Light","Medium","Heavy"},0)-1,0)+IFERROR(MATCH(Profiles!AB50,{"Low","Medium","High"},0)-1,0))&gt;=5,0.85,1),IF('User Input'!$B$42="46to60",IF((IFERROR(MATCH(Profiles!W50,{"None","Light","Medium","Heavy"},0)-1,0)+IFERROR(MATCH(Profiles!AB50,{"Low","Medium","High"},0)-1,0))&gt;=5,0.65,IF((IFERROR(MATCH(Profiles!W50,{"None","Light","Medium","Heavy"},0)-1,0)+IFERROR(MATCH(Profiles!AB50,{"Low","Medium","High"},0)-1,0))&gt;=4,0.8,IF((IFERROR(MATCH(Profiles!W50,{"None","Light","Medium","Heavy"},0)-1,0)+IFERROR(MATCH(Profiles!AB50,{"Low","Medium","High"},0)-1,0))&gt;=3,0.9,1))),IF((IFERROR(MATCH(Profiles!W50,{"None","Light","Medium","Heavy"},0)-1,0)+IFERROR(MATCH(Profiles!AB50,{"Low","Medium","High"},0)-1,0))&gt;=5,0.4,IF((IFERROR(MATCH(Profiles!W50,{"None","Light","Medium","Heavy"},0)-1,0)+IFERROR(MATCH(Profiles!AB50,{"Low","Medium","High"},0)-1,0))&gt;=4,0.6,IF((IFERROR(MATCH(Profiles!W50,{"None","Light","Medium","Heavy"},0)-1,0)+IFERROR(MATCH(Profiles!AB50,{"Low","Medium","High"},0)-1,0))&gt;=3,0.75,IF((IFERROR(MATCH(Profiles!W50,{"None","Light","Medium","Heavy"},0)-1,0)+IFERROR(MATCH(Profiles!AB50,{"Low","Medium","High"},0)-1,0))&gt;=2,0.85,1)))))))</f>
        <v/>
      </c>
      <c r="Z49" s="36">
        <f>IF(OR('User Input'!$B$43="none",'User Input'!$B$43=""),1,IF('User Input'!$B$43="minor",IF(IFERROR(MATCH(Profiles!W50,{"None","Light","Medium","Heavy"},0)-1,0)&gt;=3,0.7,IF(IFERROR(MATCH(Profiles!W50,{"None","Light","Medium","Heavy"},0)-1,0)&gt;=2,0.85,1)),IF('User Input'!$B$43="joint",IF(OR(IFERROR(MATCH(Profiles!W50,{"None","Light","Medium","Heavy"},0)-1,0)&gt;=3,IFERROR(MATCH(Profiles!AB50,{"Low","Medium","High"},0)-1,0)&gt;=2),0.5,IF(OR(IFERROR(MATCH(Profiles!W50,{"None","Light","Medium","Heavy"},0)-1,0)&gt;=2,IFERROR(MATCH(Profiles!AB50,{"Low","Medium","High"},0)-1,0)&gt;=1),0.75,1)),IF(OR(IFERROR(MATCH(Profiles!W50,{"None","Light","Medium","Heavy"},0)-1,0)&gt;=2,IFERROR(MATCH(Profiles!AB50,{"Low","Medium","High"},0)-1,0)&gt;=2),0.3,IF(OR(IFERROR(MATCH(Profiles!W50,{"None","Light","Medium","Heavy"},0)-1,0)&gt;=1,IFERROR(MATCH(Profiles!AB50,{"Low","Medium","High"},0)-1,0)&gt;=1),0.6,0.9)))))</f>
        <v/>
      </c>
    </row>
    <row r="50" ht="23.25" customHeight="1" s="37">
      <c r="A50" s="59">
        <f>Profiles!A51</f>
        <v/>
      </c>
      <c r="B50" s="59">
        <f>Profiles!B51</f>
        <v/>
      </c>
      <c r="C50" s="59">
        <f>Profiles!C51</f>
        <v/>
      </c>
      <c r="D50" s="59">
        <f>Profiles!D51</f>
        <v/>
      </c>
      <c r="E50" s="60">
        <f>IF(ISNUMBER(Profiles!E51),IF(ISNUMBER(Profiles!F51),MAX(0,1-(MAX(0,ABS('User Input'!$B$9-Profiles!E51)-Profiles!F51))/Profiles!F51/3),MAX(0,1-ABS('User Input'!$B$9-Profiles!E51)/(Profiles!E51*0.1)/3)),0.5)</f>
        <v/>
      </c>
      <c r="F50" s="60">
        <f>IF(ISNUMBER(Profiles!G51),IF(ISNUMBER(Profiles!H51),MAX(0,1-(MAX(0,ABS('User Input'!$B$10-Profiles!G51)-Profiles!H51))/Profiles!H51/3),MAX(0,1-ABS('User Input'!$B$10-Profiles!G51)/(Profiles!G51*0.15)/3)),0.5)</f>
        <v/>
      </c>
      <c r="G50" s="60">
        <f>IF(ISNUMBER(Profiles!J51),MAX(0,1-ABS('User Input'!$B$12-Profiles!J51)/5/3),0.5)</f>
        <v/>
      </c>
      <c r="H50" s="60">
        <f>IF(ISNUMBER(Profiles!K51),MAX(0,1-ABS('User Input'!$B$14-Profiles!K51)/0.03/3),"n/a")</f>
        <v/>
      </c>
      <c r="I50" s="61">
        <f>100*MAX(0,1-(MAX(0,Profiles!M51-'User Input'!$B$17)+0.5*MAX(0,'User Input'!$B$17-Profiles!M51)+MAX(0,Profiles!N51-'User Input'!$B$18)+0.5*MAX(0,'User Input'!$B$18-Profiles!N51)+MAX(0,Profiles!O51-'User Input'!$B$19)+0.5*MAX(0,'User Input'!$B$19-Profiles!O51)+MAX(0,Profiles!P51-'User Input'!$B$20)+0.5*MAX(0,'User Input'!$B$20-Profiles!P51)+MAX(0,Profiles!Q51-'User Input'!$B$21)+0.5*MAX(0,'User Input'!$B$21-Profiles!Q51)+MAX(0,Profiles!S51-'User Input'!$B$22)+0.5*MAX(0,'User Input'!$B$22-Profiles!S51)+MAX(0,Profiles!T51-'User Input'!$B$23)+0.5*MAX(0,'User Input'!$B$23-Profiles!T51)+MAX(0,Profiles!U51-'User Input'!$B$24)+0.5*MAX(0,'User Input'!$B$24-Profiles!U51))/40)</f>
        <v/>
      </c>
      <c r="J50" s="61">
        <f>ROUND(60*(E50+F50+G50+IFERROR(VALUE(H50),(E50+F50+G50)/3))/4 + 0.4*I50,1)</f>
        <v/>
      </c>
      <c r="K50" s="60">
        <f>IF(OR(AND('User Input'!$B$6="M",Profiles!$AG51="M"),AND('User Input'!$B$6="F",Profiles!$AG51="F")),1,0)</f>
        <v/>
      </c>
      <c r="L50" s="60">
        <f>IF('User Input'!$B$27="Either",(IF(Profiles!V51&gt;=4,1,0.3)+IF(OR(Profiles!V51&lt;=2,ISNUMBER(SEARCH("Individual",Profiles!D51))),1,0.3))/2,IF('User Input'!$B$27="Team",IF(Profiles!V51&gt;=4,1,0.3),IF(OR(Profiles!V51&lt;=2,ISNUMBER(SEARCH("Individual",Profiles!D51))),1,0.3)))</f>
        <v/>
      </c>
      <c r="M50" s="60">
        <f>IF(IFERROR(MATCH(Profiles!W51,{"None","Light","Medium","Heavy"},0)-1,0)&lt;=IFERROR(MATCH('User Input'!$B$28,{"None","Light","Medium","Heavy"},0)-1,3),1,MAX(0,1-0.4*(IFERROR(MATCH(Profiles!W51,{"None","Light","Medium","Heavy"},0)-1,0)-IFERROR(MATCH('User Input'!$B$28,{"None","Light","Medium","Heavy"},0)-1,3))))</f>
        <v/>
      </c>
      <c r="N50" s="60">
        <f>IF('User Input'!$B$29="neutral",1,IF('User Input'!$B$29="essential",IF(ISNUMBER(SEARCH("Outdoor",Profiles!X51)),1,0.3),IF('User Input'!$B$29="nice",IF(ISNUMBER(SEARCH("Outdoor",Profiles!X51)),1,0.65),IF('User Input'!$B$29="indoor",IF(ISNUMBER(SEARCH("Indoor",Profiles!X51)),1,0.4),1))))</f>
        <v/>
      </c>
      <c r="O50" s="60">
        <f>IF('User Input'!$B$30="Yes",1,IF(Profiles!Y51="Yes",0,1))</f>
        <v/>
      </c>
      <c r="P50" s="60">
        <f>IF(IFERROR(MATCH(Profiles!Z51,{"Low","Medium","High"},0),2)&lt;=IFERROR(MATCH('User Input'!$B$31,{"Low","Medium","High"},0),2),1,MAX(0,1-0.4*(IFERROR(MATCH(Profiles!Z51,{"Low","Medium","High"},0),2)-IFERROR(MATCH('User Input'!$B$31,{"Low","Medium","High"},0),2))))</f>
        <v/>
      </c>
      <c r="Q50" s="60">
        <f>IF('User Input'!$B$32="Yes",IF(ISNUMBER(Profiles!AC51),Profiles!AC51/10,0.5),1)</f>
        <v/>
      </c>
      <c r="R50" s="61">
        <f>IF(OR(K50=0,O50=0),0,ROUND(MIN(100,100*(K50*0.1+L50*0.2+M50*0.2+N50*0.1+P50*0.15+Q50*0.25)*W50*X50*Y50*Z50),1))</f>
        <v/>
      </c>
      <c r="S50" s="61">
        <f>IF(R50=0,0,ROUND(0.5*J50+0.5*R50,1))</f>
        <v/>
      </c>
      <c r="T50" s="36">
        <f>J50-ROW()/1000000</f>
        <v/>
      </c>
      <c r="U50" s="36">
        <f>R50-ROW()/1000000</f>
        <v/>
      </c>
      <c r="V50" s="36">
        <f>S50-ROW()/1000000</f>
        <v/>
      </c>
      <c r="W50" s="36">
        <f>IF(OR(AND(OR(Profiles!D51="Team field",Profiles!D51="Team field contact",Profiles!D51="Team field stick"),'User Input'!$B$34="Yes"),AND(OR(Profiles!D51="Team court",Profiles!D51="Team court contact"),'User Input'!$B$35="Yes"),AND(Profiles!D51="Individual racquet",'User Input'!$B$36="Yes"),AND(OR(Profiles!D51="Combat striking",Profiles!D51="Combat grappling",Profiles!D51="Combat mixed"),'User Input'!$B$37="Yes"),AND(OR(Profiles!D51="Team water contact",Profiles!D51="Individual water"),'User Input'!$B$38="Yes"),AND(OR(Profiles!D51="Endurance individual",Profiles!D51="Endurance individual / pair",Profiles!D51="Endurance individual / pursuit",Profiles!D51="Endurance team / pair",Profiles!D51="Endurance multi"),'User Input'!$B$39="Yes"),AND(OR(Profiles!D51="Strength individual",Profiles!D51="Power-throw individual"),'User Input'!$B$40="Yes"),AND(OR(Profiles!D51="Individual technical",Profiles!D51="Individual aesthetic",Profiles!D51="Team precision"),'User Input'!$B$41="Yes")),1.15,1)</f>
        <v/>
      </c>
      <c r="X50" s="36">
        <f>IF('User Input'!$B$33&lt;&gt;"none",1,IF(IFERROR(VALUE(TRIM(MID(SUBSTITUTE(SUBSTITUTE(Profiles!AA51,"–","-"),"-",REPT(" ",100)),100,100)))&lt;=14,FALSE),0.7,1))</f>
        <v/>
      </c>
      <c r="Y50" s="36">
        <f>IF(OR('User Input'!$B$42="under30",'User Input'!$B$42=""),1,IF('User Input'!$B$42="30to45",IF((IFERROR(MATCH(Profiles!W51,{"None","Light","Medium","Heavy"},0)-1,0)+IFERROR(MATCH(Profiles!AB51,{"Low","Medium","High"},0)-1,0))&gt;=5,0.85,1),IF('User Input'!$B$42="46to60",IF((IFERROR(MATCH(Profiles!W51,{"None","Light","Medium","Heavy"},0)-1,0)+IFERROR(MATCH(Profiles!AB51,{"Low","Medium","High"},0)-1,0))&gt;=5,0.65,IF((IFERROR(MATCH(Profiles!W51,{"None","Light","Medium","Heavy"},0)-1,0)+IFERROR(MATCH(Profiles!AB51,{"Low","Medium","High"},0)-1,0))&gt;=4,0.8,IF((IFERROR(MATCH(Profiles!W51,{"None","Light","Medium","Heavy"},0)-1,0)+IFERROR(MATCH(Profiles!AB51,{"Low","Medium","High"},0)-1,0))&gt;=3,0.9,1))),IF((IFERROR(MATCH(Profiles!W51,{"None","Light","Medium","Heavy"},0)-1,0)+IFERROR(MATCH(Profiles!AB51,{"Low","Medium","High"},0)-1,0))&gt;=5,0.4,IF((IFERROR(MATCH(Profiles!W51,{"None","Light","Medium","Heavy"},0)-1,0)+IFERROR(MATCH(Profiles!AB51,{"Low","Medium","High"},0)-1,0))&gt;=4,0.6,IF((IFERROR(MATCH(Profiles!W51,{"None","Light","Medium","Heavy"},0)-1,0)+IFERROR(MATCH(Profiles!AB51,{"Low","Medium","High"},0)-1,0))&gt;=3,0.75,IF((IFERROR(MATCH(Profiles!W51,{"None","Light","Medium","Heavy"},0)-1,0)+IFERROR(MATCH(Profiles!AB51,{"Low","Medium","High"},0)-1,0))&gt;=2,0.85,1)))))))</f>
        <v/>
      </c>
      <c r="Z50" s="36">
        <f>IF(OR('User Input'!$B$43="none",'User Input'!$B$43=""),1,IF('User Input'!$B$43="minor",IF(IFERROR(MATCH(Profiles!W51,{"None","Light","Medium","Heavy"},0)-1,0)&gt;=3,0.7,IF(IFERROR(MATCH(Profiles!W51,{"None","Light","Medium","Heavy"},0)-1,0)&gt;=2,0.85,1)),IF('User Input'!$B$43="joint",IF(OR(IFERROR(MATCH(Profiles!W51,{"None","Light","Medium","Heavy"},0)-1,0)&gt;=3,IFERROR(MATCH(Profiles!AB51,{"Low","Medium","High"},0)-1,0)&gt;=2),0.5,IF(OR(IFERROR(MATCH(Profiles!W51,{"None","Light","Medium","Heavy"},0)-1,0)&gt;=2,IFERROR(MATCH(Profiles!AB51,{"Low","Medium","High"},0)-1,0)&gt;=1),0.75,1)),IF(OR(IFERROR(MATCH(Profiles!W51,{"None","Light","Medium","Heavy"},0)-1,0)&gt;=2,IFERROR(MATCH(Profiles!AB51,{"Low","Medium","High"},0)-1,0)&gt;=2),0.3,IF(OR(IFERROR(MATCH(Profiles!W51,{"None","Light","Medium","Heavy"},0)-1,0)&gt;=1,IFERROR(MATCH(Profiles!AB51,{"Low","Medium","High"},0)-1,0)&gt;=1),0.6,0.9)))))</f>
        <v/>
      </c>
    </row>
    <row r="51" ht="15" customHeight="1" s="37">
      <c r="A51" s="59">
        <f>Profiles!A52</f>
        <v/>
      </c>
      <c r="B51" s="59">
        <f>Profiles!B52</f>
        <v/>
      </c>
      <c r="C51" s="59">
        <f>Profiles!C52</f>
        <v/>
      </c>
      <c r="D51" s="59">
        <f>Profiles!D52</f>
        <v/>
      </c>
      <c r="E51" s="60">
        <f>IF(ISNUMBER(Profiles!E52),IF(ISNUMBER(Profiles!F52),MAX(0,1-(MAX(0,ABS('User Input'!$B$9-Profiles!E52)-Profiles!F52))/Profiles!F52/3),MAX(0,1-ABS('User Input'!$B$9-Profiles!E52)/(Profiles!E52*0.1)/3)),0.5)</f>
        <v/>
      </c>
      <c r="F51" s="60">
        <f>IF(ISNUMBER(Profiles!G52),IF(ISNUMBER(Profiles!H52),MAX(0,1-(MAX(0,ABS('User Input'!$B$10-Profiles!G52)-Profiles!H52))/Profiles!H52/3),MAX(0,1-ABS('User Input'!$B$10-Profiles!G52)/(Profiles!G52*0.15)/3)),0.5)</f>
        <v/>
      </c>
      <c r="G51" s="60">
        <f>IF(ISNUMBER(Profiles!J52),MAX(0,1-ABS('User Input'!$B$12-Profiles!J52)/5/3),0.5)</f>
        <v/>
      </c>
      <c r="H51" s="60">
        <f>IF(ISNUMBER(Profiles!K52),MAX(0,1-ABS('User Input'!$B$14-Profiles!K52)/0.03/3),"n/a")</f>
        <v/>
      </c>
      <c r="I51" s="61">
        <f>100*MAX(0,1-(MAX(0,Profiles!M52-'User Input'!$B$17)+0.5*MAX(0,'User Input'!$B$17-Profiles!M52)+MAX(0,Profiles!N52-'User Input'!$B$18)+0.5*MAX(0,'User Input'!$B$18-Profiles!N52)+MAX(0,Profiles!O52-'User Input'!$B$19)+0.5*MAX(0,'User Input'!$B$19-Profiles!O52)+MAX(0,Profiles!P52-'User Input'!$B$20)+0.5*MAX(0,'User Input'!$B$20-Profiles!P52)+MAX(0,Profiles!Q52-'User Input'!$B$21)+0.5*MAX(0,'User Input'!$B$21-Profiles!Q52)+MAX(0,Profiles!S52-'User Input'!$B$22)+0.5*MAX(0,'User Input'!$B$22-Profiles!S52)+MAX(0,Profiles!T52-'User Input'!$B$23)+0.5*MAX(0,'User Input'!$B$23-Profiles!T52)+MAX(0,Profiles!U52-'User Input'!$B$24)+0.5*MAX(0,'User Input'!$B$24-Profiles!U52))/40)</f>
        <v/>
      </c>
      <c r="J51" s="61">
        <f>ROUND(60*(E51+F51+G51+IFERROR(VALUE(H51),(E51+F51+G51)/3))/4 + 0.4*I51,1)</f>
        <v/>
      </c>
      <c r="K51" s="60">
        <f>IF(OR(AND('User Input'!$B$6="M",Profiles!$AG52="M"),AND('User Input'!$B$6="F",Profiles!$AG52="F")),1,0)</f>
        <v/>
      </c>
      <c r="L51" s="60">
        <f>IF('User Input'!$B$27="Either",(IF(Profiles!V52&gt;=4,1,0.3)+IF(OR(Profiles!V52&lt;=2,ISNUMBER(SEARCH("Individual",Profiles!D52))),1,0.3))/2,IF('User Input'!$B$27="Team",IF(Profiles!V52&gt;=4,1,0.3),IF(OR(Profiles!V52&lt;=2,ISNUMBER(SEARCH("Individual",Profiles!D52))),1,0.3)))</f>
        <v/>
      </c>
      <c r="M51" s="60">
        <f>IF(IFERROR(MATCH(Profiles!W52,{"None","Light","Medium","Heavy"},0)-1,0)&lt;=IFERROR(MATCH('User Input'!$B$28,{"None","Light","Medium","Heavy"},0)-1,3),1,MAX(0,1-0.4*(IFERROR(MATCH(Profiles!W52,{"None","Light","Medium","Heavy"},0)-1,0)-IFERROR(MATCH('User Input'!$B$28,{"None","Light","Medium","Heavy"},0)-1,3))))</f>
        <v/>
      </c>
      <c r="N51" s="60">
        <f>IF('User Input'!$B$29="neutral",1,IF('User Input'!$B$29="essential",IF(ISNUMBER(SEARCH("Outdoor",Profiles!X52)),1,0.3),IF('User Input'!$B$29="nice",IF(ISNUMBER(SEARCH("Outdoor",Profiles!X52)),1,0.65),IF('User Input'!$B$29="indoor",IF(ISNUMBER(SEARCH("Indoor",Profiles!X52)),1,0.4),1))))</f>
        <v/>
      </c>
      <c r="O51" s="60">
        <f>IF('User Input'!$B$30="Yes",1,IF(Profiles!Y52="Yes",0,1))</f>
        <v/>
      </c>
      <c r="P51" s="60">
        <f>IF(IFERROR(MATCH(Profiles!Z52,{"Low","Medium","High"},0),2)&lt;=IFERROR(MATCH('User Input'!$B$31,{"Low","Medium","High"},0),2),1,MAX(0,1-0.4*(IFERROR(MATCH(Profiles!Z52,{"Low","Medium","High"},0),2)-IFERROR(MATCH('User Input'!$B$31,{"Low","Medium","High"},0),2))))</f>
        <v/>
      </c>
      <c r="Q51" s="60">
        <f>IF('User Input'!$B$32="Yes",IF(ISNUMBER(Profiles!AC52),Profiles!AC52/10,0.5),1)</f>
        <v/>
      </c>
      <c r="R51" s="61">
        <f>IF(OR(K51=0,O51=0),0,ROUND(MIN(100,100*(K51*0.1+L51*0.2+M51*0.2+N51*0.1+P51*0.15+Q51*0.25)*W51*X51*Y51*Z51),1))</f>
        <v/>
      </c>
      <c r="S51" s="61">
        <f>IF(R51=0,0,ROUND(0.5*J51+0.5*R51,1))</f>
        <v/>
      </c>
      <c r="T51" s="36">
        <f>J51-ROW()/1000000</f>
        <v/>
      </c>
      <c r="U51" s="36">
        <f>R51-ROW()/1000000</f>
        <v/>
      </c>
      <c r="V51" s="36">
        <f>S51-ROW()/1000000</f>
        <v/>
      </c>
      <c r="W51" s="36">
        <f>IF(OR(AND(OR(Profiles!D52="Team field",Profiles!D52="Team field contact",Profiles!D52="Team field stick"),'User Input'!$B$34="Yes"),AND(OR(Profiles!D52="Team court",Profiles!D52="Team court contact"),'User Input'!$B$35="Yes"),AND(Profiles!D52="Individual racquet",'User Input'!$B$36="Yes"),AND(OR(Profiles!D52="Combat striking",Profiles!D52="Combat grappling",Profiles!D52="Combat mixed"),'User Input'!$B$37="Yes"),AND(OR(Profiles!D52="Team water contact",Profiles!D52="Individual water"),'User Input'!$B$38="Yes"),AND(OR(Profiles!D52="Endurance individual",Profiles!D52="Endurance individual / pair",Profiles!D52="Endurance individual / pursuit",Profiles!D52="Endurance team / pair",Profiles!D52="Endurance multi"),'User Input'!$B$39="Yes"),AND(OR(Profiles!D52="Strength individual",Profiles!D52="Power-throw individual"),'User Input'!$B$40="Yes"),AND(OR(Profiles!D52="Individual technical",Profiles!D52="Individual aesthetic",Profiles!D52="Team precision"),'User Input'!$B$41="Yes")),1.15,1)</f>
        <v/>
      </c>
      <c r="X51" s="36">
        <f>IF('User Input'!$B$33&lt;&gt;"none",1,IF(IFERROR(VALUE(TRIM(MID(SUBSTITUTE(SUBSTITUTE(Profiles!AA52,"–","-"),"-",REPT(" ",100)),100,100)))&lt;=14,FALSE),0.7,1))</f>
        <v/>
      </c>
      <c r="Y51" s="36">
        <f>IF(OR('User Input'!$B$42="under30",'User Input'!$B$42=""),1,IF('User Input'!$B$42="30to45",IF((IFERROR(MATCH(Profiles!W52,{"None","Light","Medium","Heavy"},0)-1,0)+IFERROR(MATCH(Profiles!AB52,{"Low","Medium","High"},0)-1,0))&gt;=5,0.85,1),IF('User Input'!$B$42="46to60",IF((IFERROR(MATCH(Profiles!W52,{"None","Light","Medium","Heavy"},0)-1,0)+IFERROR(MATCH(Profiles!AB52,{"Low","Medium","High"},0)-1,0))&gt;=5,0.65,IF((IFERROR(MATCH(Profiles!W52,{"None","Light","Medium","Heavy"},0)-1,0)+IFERROR(MATCH(Profiles!AB52,{"Low","Medium","High"},0)-1,0))&gt;=4,0.8,IF((IFERROR(MATCH(Profiles!W52,{"None","Light","Medium","Heavy"},0)-1,0)+IFERROR(MATCH(Profiles!AB52,{"Low","Medium","High"},0)-1,0))&gt;=3,0.9,1))),IF((IFERROR(MATCH(Profiles!W52,{"None","Light","Medium","Heavy"},0)-1,0)+IFERROR(MATCH(Profiles!AB52,{"Low","Medium","High"},0)-1,0))&gt;=5,0.4,IF((IFERROR(MATCH(Profiles!W52,{"None","Light","Medium","Heavy"},0)-1,0)+IFERROR(MATCH(Profiles!AB52,{"Low","Medium","High"},0)-1,0))&gt;=4,0.6,IF((IFERROR(MATCH(Profiles!W52,{"None","Light","Medium","Heavy"},0)-1,0)+IFERROR(MATCH(Profiles!AB52,{"Low","Medium","High"},0)-1,0))&gt;=3,0.75,IF((IFERROR(MATCH(Profiles!W52,{"None","Light","Medium","Heavy"},0)-1,0)+IFERROR(MATCH(Profiles!AB52,{"Low","Medium","High"},0)-1,0))&gt;=2,0.85,1)))))))</f>
        <v/>
      </c>
      <c r="Z51" s="36">
        <f>IF(OR('User Input'!$B$43="none",'User Input'!$B$43=""),1,IF('User Input'!$B$43="minor",IF(IFERROR(MATCH(Profiles!W52,{"None","Light","Medium","Heavy"},0)-1,0)&gt;=3,0.7,IF(IFERROR(MATCH(Profiles!W52,{"None","Light","Medium","Heavy"},0)-1,0)&gt;=2,0.85,1)),IF('User Input'!$B$43="joint",IF(OR(IFERROR(MATCH(Profiles!W52,{"None","Light","Medium","Heavy"},0)-1,0)&gt;=3,IFERROR(MATCH(Profiles!AB52,{"Low","Medium","High"},0)-1,0)&gt;=2),0.5,IF(OR(IFERROR(MATCH(Profiles!W52,{"None","Light","Medium","Heavy"},0)-1,0)&gt;=2,IFERROR(MATCH(Profiles!AB52,{"Low","Medium","High"},0)-1,0)&gt;=1),0.75,1)),IF(OR(IFERROR(MATCH(Profiles!W52,{"None","Light","Medium","Heavy"},0)-1,0)&gt;=2,IFERROR(MATCH(Profiles!AB52,{"Low","Medium","High"},0)-1,0)&gt;=2),0.3,IF(OR(IFERROR(MATCH(Profiles!W52,{"None","Light","Medium","Heavy"},0)-1,0)&gt;=1,IFERROR(MATCH(Profiles!AB52,{"Low","Medium","High"},0)-1,0)&gt;=1),0.6,0.9)))))</f>
        <v/>
      </c>
    </row>
    <row r="52" ht="15" customHeight="1" s="37">
      <c r="A52" s="59">
        <f>Profiles!A53</f>
        <v/>
      </c>
      <c r="B52" s="59">
        <f>Profiles!B53</f>
        <v/>
      </c>
      <c r="C52" s="59">
        <f>Profiles!C53</f>
        <v/>
      </c>
      <c r="D52" s="59">
        <f>Profiles!D53</f>
        <v/>
      </c>
      <c r="E52" s="60">
        <f>IF(ISNUMBER(Profiles!E53),IF(ISNUMBER(Profiles!F53),MAX(0,1-(MAX(0,ABS('User Input'!$B$9-Profiles!E53)-Profiles!F53))/Profiles!F53/3),MAX(0,1-ABS('User Input'!$B$9-Profiles!E53)/(Profiles!E53*0.1)/3)),0.5)</f>
        <v/>
      </c>
      <c r="F52" s="60">
        <f>IF(ISNUMBER(Profiles!G53),IF(ISNUMBER(Profiles!H53),MAX(0,1-(MAX(0,ABS('User Input'!$B$10-Profiles!G53)-Profiles!H53))/Profiles!H53/3),MAX(0,1-ABS('User Input'!$B$10-Profiles!G53)/(Profiles!G53*0.15)/3)),0.5)</f>
        <v/>
      </c>
      <c r="G52" s="60">
        <f>IF(ISNUMBER(Profiles!J53),MAX(0,1-ABS('User Input'!$B$12-Profiles!J53)/5/3),0.5)</f>
        <v/>
      </c>
      <c r="H52" s="60">
        <f>IF(ISNUMBER(Profiles!K53),MAX(0,1-ABS('User Input'!$B$14-Profiles!K53)/0.03/3),"n/a")</f>
        <v/>
      </c>
      <c r="I52" s="61">
        <f>100*MAX(0,1-(MAX(0,Profiles!M53-'User Input'!$B$17)+0.5*MAX(0,'User Input'!$B$17-Profiles!M53)+MAX(0,Profiles!N53-'User Input'!$B$18)+0.5*MAX(0,'User Input'!$B$18-Profiles!N53)+MAX(0,Profiles!O53-'User Input'!$B$19)+0.5*MAX(0,'User Input'!$B$19-Profiles!O53)+MAX(0,Profiles!P53-'User Input'!$B$20)+0.5*MAX(0,'User Input'!$B$20-Profiles!P53)+MAX(0,Profiles!Q53-'User Input'!$B$21)+0.5*MAX(0,'User Input'!$B$21-Profiles!Q53)+MAX(0,Profiles!S53-'User Input'!$B$22)+0.5*MAX(0,'User Input'!$B$22-Profiles!S53)+MAX(0,Profiles!T53-'User Input'!$B$23)+0.5*MAX(0,'User Input'!$B$23-Profiles!T53)+MAX(0,Profiles!U53-'User Input'!$B$24)+0.5*MAX(0,'User Input'!$B$24-Profiles!U53))/40)</f>
        <v/>
      </c>
      <c r="J52" s="61">
        <f>ROUND(60*(E52+F52+G52+IFERROR(VALUE(H52),(E52+F52+G52)/3))/4 + 0.4*I52,1)</f>
        <v/>
      </c>
      <c r="K52" s="60">
        <f>IF(OR(AND('User Input'!$B$6="M",Profiles!$AG53="M"),AND('User Input'!$B$6="F",Profiles!$AG53="F")),1,0)</f>
        <v/>
      </c>
      <c r="L52" s="60">
        <f>IF('User Input'!$B$27="Either",(IF(Profiles!V53&gt;=4,1,0.3)+IF(OR(Profiles!V53&lt;=2,ISNUMBER(SEARCH("Individual",Profiles!D53))),1,0.3))/2,IF('User Input'!$B$27="Team",IF(Profiles!V53&gt;=4,1,0.3),IF(OR(Profiles!V53&lt;=2,ISNUMBER(SEARCH("Individual",Profiles!D53))),1,0.3)))</f>
        <v/>
      </c>
      <c r="M52" s="60">
        <f>IF(IFERROR(MATCH(Profiles!W53,{"None","Light","Medium","Heavy"},0)-1,0)&lt;=IFERROR(MATCH('User Input'!$B$28,{"None","Light","Medium","Heavy"},0)-1,3),1,MAX(0,1-0.4*(IFERROR(MATCH(Profiles!W53,{"None","Light","Medium","Heavy"},0)-1,0)-IFERROR(MATCH('User Input'!$B$28,{"None","Light","Medium","Heavy"},0)-1,3))))</f>
        <v/>
      </c>
      <c r="N52" s="60">
        <f>IF('User Input'!$B$29="neutral",1,IF('User Input'!$B$29="essential",IF(ISNUMBER(SEARCH("Outdoor",Profiles!X53)),1,0.3),IF('User Input'!$B$29="nice",IF(ISNUMBER(SEARCH("Outdoor",Profiles!X53)),1,0.65),IF('User Input'!$B$29="indoor",IF(ISNUMBER(SEARCH("Indoor",Profiles!X53)),1,0.4),1))))</f>
        <v/>
      </c>
      <c r="O52" s="60">
        <f>IF('User Input'!$B$30="Yes",1,IF(Profiles!Y53="Yes",0,1))</f>
        <v/>
      </c>
      <c r="P52" s="60">
        <f>IF(IFERROR(MATCH(Profiles!Z53,{"Low","Medium","High"},0),2)&lt;=IFERROR(MATCH('User Input'!$B$31,{"Low","Medium","High"},0),2),1,MAX(0,1-0.4*(IFERROR(MATCH(Profiles!Z53,{"Low","Medium","High"},0),2)-IFERROR(MATCH('User Input'!$B$31,{"Low","Medium","High"},0),2))))</f>
        <v/>
      </c>
      <c r="Q52" s="60">
        <f>IF('User Input'!$B$32="Yes",IF(ISNUMBER(Profiles!AC53),Profiles!AC53/10,0.5),1)</f>
        <v/>
      </c>
      <c r="R52" s="61">
        <f>IF(OR(K52=0,O52=0),0,ROUND(MIN(100,100*(K52*0.1+L52*0.2+M52*0.2+N52*0.1+P52*0.15+Q52*0.25)*W52*X52*Y52*Z52),1))</f>
        <v/>
      </c>
      <c r="S52" s="61">
        <f>IF(R52=0,0,ROUND(0.5*J52+0.5*R52,1))</f>
        <v/>
      </c>
      <c r="T52" s="36">
        <f>J52-ROW()/1000000</f>
        <v/>
      </c>
      <c r="U52" s="36">
        <f>R52-ROW()/1000000</f>
        <v/>
      </c>
      <c r="V52" s="36">
        <f>S52-ROW()/1000000</f>
        <v/>
      </c>
      <c r="W52" s="36">
        <f>IF(OR(AND(OR(Profiles!D53="Team field",Profiles!D53="Team field contact",Profiles!D53="Team field stick"),'User Input'!$B$34="Yes"),AND(OR(Profiles!D53="Team court",Profiles!D53="Team court contact"),'User Input'!$B$35="Yes"),AND(Profiles!D53="Individual racquet",'User Input'!$B$36="Yes"),AND(OR(Profiles!D53="Combat striking",Profiles!D53="Combat grappling",Profiles!D53="Combat mixed"),'User Input'!$B$37="Yes"),AND(OR(Profiles!D53="Team water contact",Profiles!D53="Individual water"),'User Input'!$B$38="Yes"),AND(OR(Profiles!D53="Endurance individual",Profiles!D53="Endurance individual / pair",Profiles!D53="Endurance individual / pursuit",Profiles!D53="Endurance team / pair",Profiles!D53="Endurance multi"),'User Input'!$B$39="Yes"),AND(OR(Profiles!D53="Strength individual",Profiles!D53="Power-throw individual"),'User Input'!$B$40="Yes"),AND(OR(Profiles!D53="Individual technical",Profiles!D53="Individual aesthetic",Profiles!D53="Team precision"),'User Input'!$B$41="Yes")),1.15,1)</f>
        <v/>
      </c>
      <c r="X52" s="36">
        <f>IF('User Input'!$B$33&lt;&gt;"none",1,IF(IFERROR(VALUE(TRIM(MID(SUBSTITUTE(SUBSTITUTE(Profiles!AA53,"–","-"),"-",REPT(" ",100)),100,100)))&lt;=14,FALSE),0.7,1))</f>
        <v/>
      </c>
      <c r="Y52" s="36">
        <f>IF(OR('User Input'!$B$42="under30",'User Input'!$B$42=""),1,IF('User Input'!$B$42="30to45",IF((IFERROR(MATCH(Profiles!W53,{"None","Light","Medium","Heavy"},0)-1,0)+IFERROR(MATCH(Profiles!AB53,{"Low","Medium","High"},0)-1,0))&gt;=5,0.85,1),IF('User Input'!$B$42="46to60",IF((IFERROR(MATCH(Profiles!W53,{"None","Light","Medium","Heavy"},0)-1,0)+IFERROR(MATCH(Profiles!AB53,{"Low","Medium","High"},0)-1,0))&gt;=5,0.65,IF((IFERROR(MATCH(Profiles!W53,{"None","Light","Medium","Heavy"},0)-1,0)+IFERROR(MATCH(Profiles!AB53,{"Low","Medium","High"},0)-1,0))&gt;=4,0.8,IF((IFERROR(MATCH(Profiles!W53,{"None","Light","Medium","Heavy"},0)-1,0)+IFERROR(MATCH(Profiles!AB53,{"Low","Medium","High"},0)-1,0))&gt;=3,0.9,1))),IF((IFERROR(MATCH(Profiles!W53,{"None","Light","Medium","Heavy"},0)-1,0)+IFERROR(MATCH(Profiles!AB53,{"Low","Medium","High"},0)-1,0))&gt;=5,0.4,IF((IFERROR(MATCH(Profiles!W53,{"None","Light","Medium","Heavy"},0)-1,0)+IFERROR(MATCH(Profiles!AB53,{"Low","Medium","High"},0)-1,0))&gt;=4,0.6,IF((IFERROR(MATCH(Profiles!W53,{"None","Light","Medium","Heavy"},0)-1,0)+IFERROR(MATCH(Profiles!AB53,{"Low","Medium","High"},0)-1,0))&gt;=3,0.75,IF((IFERROR(MATCH(Profiles!W53,{"None","Light","Medium","Heavy"},0)-1,0)+IFERROR(MATCH(Profiles!AB53,{"Low","Medium","High"},0)-1,0))&gt;=2,0.85,1)))))))</f>
        <v/>
      </c>
      <c r="Z52" s="36">
        <f>IF(OR('User Input'!$B$43="none",'User Input'!$B$43=""),1,IF('User Input'!$B$43="minor",IF(IFERROR(MATCH(Profiles!W53,{"None","Light","Medium","Heavy"},0)-1,0)&gt;=3,0.7,IF(IFERROR(MATCH(Profiles!W53,{"None","Light","Medium","Heavy"},0)-1,0)&gt;=2,0.85,1)),IF('User Input'!$B$43="joint",IF(OR(IFERROR(MATCH(Profiles!W53,{"None","Light","Medium","Heavy"},0)-1,0)&gt;=3,IFERROR(MATCH(Profiles!AB53,{"Low","Medium","High"},0)-1,0)&gt;=2),0.5,IF(OR(IFERROR(MATCH(Profiles!W53,{"None","Light","Medium","Heavy"},0)-1,0)&gt;=2,IFERROR(MATCH(Profiles!AB53,{"Low","Medium","High"},0)-1,0)&gt;=1),0.75,1)),IF(OR(IFERROR(MATCH(Profiles!W53,{"None","Light","Medium","Heavy"},0)-1,0)&gt;=2,IFERROR(MATCH(Profiles!AB53,{"Low","Medium","High"},0)-1,0)&gt;=2),0.3,IF(OR(IFERROR(MATCH(Profiles!W53,{"None","Light","Medium","Heavy"},0)-1,0)&gt;=1,IFERROR(MATCH(Profiles!AB53,{"Low","Medium","High"},0)-1,0)&gt;=1),0.6,0.9)))))</f>
        <v/>
      </c>
    </row>
    <row r="53" ht="15" customHeight="1" s="37">
      <c r="A53" s="59">
        <f>Profiles!A54</f>
        <v/>
      </c>
      <c r="B53" s="59">
        <f>Profiles!B54</f>
        <v/>
      </c>
      <c r="C53" s="59">
        <f>Profiles!C54</f>
        <v/>
      </c>
      <c r="D53" s="59">
        <f>Profiles!D54</f>
        <v/>
      </c>
      <c r="E53" s="60">
        <f>IF(ISNUMBER(Profiles!E54),IF(ISNUMBER(Profiles!F54),MAX(0,1-(MAX(0,ABS('User Input'!$B$9-Profiles!E54)-Profiles!F54))/Profiles!F54/3),MAX(0,1-ABS('User Input'!$B$9-Profiles!E54)/(Profiles!E54*0.1)/3)),0.5)</f>
        <v/>
      </c>
      <c r="F53" s="60">
        <f>IF(ISNUMBER(Profiles!G54),IF(ISNUMBER(Profiles!H54),MAX(0,1-(MAX(0,ABS('User Input'!$B$10-Profiles!G54)-Profiles!H54))/Profiles!H54/3),MAX(0,1-ABS('User Input'!$B$10-Profiles!G54)/(Profiles!G54*0.15)/3)),0.5)</f>
        <v/>
      </c>
      <c r="G53" s="60">
        <f>IF(ISNUMBER(Profiles!J54),MAX(0,1-ABS('User Input'!$B$12-Profiles!J54)/5/3),0.5)</f>
        <v/>
      </c>
      <c r="H53" s="60">
        <f>IF(ISNUMBER(Profiles!K54),MAX(0,1-ABS('User Input'!$B$14-Profiles!K54)/0.03/3),"n/a")</f>
        <v/>
      </c>
      <c r="I53" s="61">
        <f>100*MAX(0,1-(MAX(0,Profiles!M54-'User Input'!$B$17)+0.5*MAX(0,'User Input'!$B$17-Profiles!M54)+MAX(0,Profiles!N54-'User Input'!$B$18)+0.5*MAX(0,'User Input'!$B$18-Profiles!N54)+MAX(0,Profiles!O54-'User Input'!$B$19)+0.5*MAX(0,'User Input'!$B$19-Profiles!O54)+MAX(0,Profiles!P54-'User Input'!$B$20)+0.5*MAX(0,'User Input'!$B$20-Profiles!P54)+MAX(0,Profiles!Q54-'User Input'!$B$21)+0.5*MAX(0,'User Input'!$B$21-Profiles!Q54)+MAX(0,Profiles!S54-'User Input'!$B$22)+0.5*MAX(0,'User Input'!$B$22-Profiles!S54)+MAX(0,Profiles!T54-'User Input'!$B$23)+0.5*MAX(0,'User Input'!$B$23-Profiles!T54)+MAX(0,Profiles!U54-'User Input'!$B$24)+0.5*MAX(0,'User Input'!$B$24-Profiles!U54))/40)</f>
        <v/>
      </c>
      <c r="J53" s="61">
        <f>ROUND(60*(E53+F53+G53+IFERROR(VALUE(H53),(E53+F53+G53)/3))/4 + 0.4*I53,1)</f>
        <v/>
      </c>
      <c r="K53" s="60">
        <f>IF(OR(AND('User Input'!$B$6="M",Profiles!$AG54="M"),AND('User Input'!$B$6="F",Profiles!$AG54="F")),1,0)</f>
        <v/>
      </c>
      <c r="L53" s="60">
        <f>IF('User Input'!$B$27="Either",(IF(Profiles!V54&gt;=4,1,0.3)+IF(OR(Profiles!V54&lt;=2,ISNUMBER(SEARCH("Individual",Profiles!D54))),1,0.3))/2,IF('User Input'!$B$27="Team",IF(Profiles!V54&gt;=4,1,0.3),IF(OR(Profiles!V54&lt;=2,ISNUMBER(SEARCH("Individual",Profiles!D54))),1,0.3)))</f>
        <v/>
      </c>
      <c r="M53" s="60">
        <f>IF(IFERROR(MATCH(Profiles!W54,{"None","Light","Medium","Heavy"},0)-1,0)&lt;=IFERROR(MATCH('User Input'!$B$28,{"None","Light","Medium","Heavy"},0)-1,3),1,MAX(0,1-0.4*(IFERROR(MATCH(Profiles!W54,{"None","Light","Medium","Heavy"},0)-1,0)-IFERROR(MATCH('User Input'!$B$28,{"None","Light","Medium","Heavy"},0)-1,3))))</f>
        <v/>
      </c>
      <c r="N53" s="60">
        <f>IF('User Input'!$B$29="neutral",1,IF('User Input'!$B$29="essential",IF(ISNUMBER(SEARCH("Outdoor",Profiles!X54)),1,0.3),IF('User Input'!$B$29="nice",IF(ISNUMBER(SEARCH("Outdoor",Profiles!X54)),1,0.65),IF('User Input'!$B$29="indoor",IF(ISNUMBER(SEARCH("Indoor",Profiles!X54)),1,0.4),1))))</f>
        <v/>
      </c>
      <c r="O53" s="60">
        <f>IF('User Input'!$B$30="Yes",1,IF(Profiles!Y54="Yes",0,1))</f>
        <v/>
      </c>
      <c r="P53" s="60">
        <f>IF(IFERROR(MATCH(Profiles!Z54,{"Low","Medium","High"},0),2)&lt;=IFERROR(MATCH('User Input'!$B$31,{"Low","Medium","High"},0),2),1,MAX(0,1-0.4*(IFERROR(MATCH(Profiles!Z54,{"Low","Medium","High"},0),2)-IFERROR(MATCH('User Input'!$B$31,{"Low","Medium","High"},0),2))))</f>
        <v/>
      </c>
      <c r="Q53" s="60">
        <f>IF('User Input'!$B$32="Yes",IF(ISNUMBER(Profiles!AC54),Profiles!AC54/10,0.5),1)</f>
        <v/>
      </c>
      <c r="R53" s="61">
        <f>IF(OR(K53=0,O53=0),0,ROUND(MIN(100,100*(K53*0.1+L53*0.2+M53*0.2+N53*0.1+P53*0.15+Q53*0.25)*W53*X53*Y53*Z53),1))</f>
        <v/>
      </c>
      <c r="S53" s="61">
        <f>IF(R53=0,0,ROUND(0.5*J53+0.5*R53,1))</f>
        <v/>
      </c>
      <c r="T53" s="36">
        <f>J53-ROW()/1000000</f>
        <v/>
      </c>
      <c r="U53" s="36">
        <f>R53-ROW()/1000000</f>
        <v/>
      </c>
      <c r="V53" s="36">
        <f>S53-ROW()/1000000</f>
        <v/>
      </c>
      <c r="W53" s="36">
        <f>IF(OR(AND(OR(Profiles!D54="Team field",Profiles!D54="Team field contact",Profiles!D54="Team field stick"),'User Input'!$B$34="Yes"),AND(OR(Profiles!D54="Team court",Profiles!D54="Team court contact"),'User Input'!$B$35="Yes"),AND(Profiles!D54="Individual racquet",'User Input'!$B$36="Yes"),AND(OR(Profiles!D54="Combat striking",Profiles!D54="Combat grappling",Profiles!D54="Combat mixed"),'User Input'!$B$37="Yes"),AND(OR(Profiles!D54="Team water contact",Profiles!D54="Individual water"),'User Input'!$B$38="Yes"),AND(OR(Profiles!D54="Endurance individual",Profiles!D54="Endurance individual / pair",Profiles!D54="Endurance individual / pursuit",Profiles!D54="Endurance team / pair",Profiles!D54="Endurance multi"),'User Input'!$B$39="Yes"),AND(OR(Profiles!D54="Strength individual",Profiles!D54="Power-throw individual"),'User Input'!$B$40="Yes"),AND(OR(Profiles!D54="Individual technical",Profiles!D54="Individual aesthetic",Profiles!D54="Team precision"),'User Input'!$B$41="Yes")),1.15,1)</f>
        <v/>
      </c>
      <c r="X53" s="36">
        <f>IF('User Input'!$B$33&lt;&gt;"none",1,IF(IFERROR(VALUE(TRIM(MID(SUBSTITUTE(SUBSTITUTE(Profiles!AA54,"–","-"),"-",REPT(" ",100)),100,100)))&lt;=14,FALSE),0.7,1))</f>
        <v/>
      </c>
      <c r="Y53" s="36">
        <f>IF(OR('User Input'!$B$42="under30",'User Input'!$B$42=""),1,IF('User Input'!$B$42="30to45",IF((IFERROR(MATCH(Profiles!W54,{"None","Light","Medium","Heavy"},0)-1,0)+IFERROR(MATCH(Profiles!AB54,{"Low","Medium","High"},0)-1,0))&gt;=5,0.85,1),IF('User Input'!$B$42="46to60",IF((IFERROR(MATCH(Profiles!W54,{"None","Light","Medium","Heavy"},0)-1,0)+IFERROR(MATCH(Profiles!AB54,{"Low","Medium","High"},0)-1,0))&gt;=5,0.65,IF((IFERROR(MATCH(Profiles!W54,{"None","Light","Medium","Heavy"},0)-1,0)+IFERROR(MATCH(Profiles!AB54,{"Low","Medium","High"},0)-1,0))&gt;=4,0.8,IF((IFERROR(MATCH(Profiles!W54,{"None","Light","Medium","Heavy"},0)-1,0)+IFERROR(MATCH(Profiles!AB54,{"Low","Medium","High"},0)-1,0))&gt;=3,0.9,1))),IF((IFERROR(MATCH(Profiles!W54,{"None","Light","Medium","Heavy"},0)-1,0)+IFERROR(MATCH(Profiles!AB54,{"Low","Medium","High"},0)-1,0))&gt;=5,0.4,IF((IFERROR(MATCH(Profiles!W54,{"None","Light","Medium","Heavy"},0)-1,0)+IFERROR(MATCH(Profiles!AB54,{"Low","Medium","High"},0)-1,0))&gt;=4,0.6,IF((IFERROR(MATCH(Profiles!W54,{"None","Light","Medium","Heavy"},0)-1,0)+IFERROR(MATCH(Profiles!AB54,{"Low","Medium","High"},0)-1,0))&gt;=3,0.75,IF((IFERROR(MATCH(Profiles!W54,{"None","Light","Medium","Heavy"},0)-1,0)+IFERROR(MATCH(Profiles!AB54,{"Low","Medium","High"},0)-1,0))&gt;=2,0.85,1)))))))</f>
        <v/>
      </c>
      <c r="Z53" s="36">
        <f>IF(OR('User Input'!$B$43="none",'User Input'!$B$43=""),1,IF('User Input'!$B$43="minor",IF(IFERROR(MATCH(Profiles!W54,{"None","Light","Medium","Heavy"},0)-1,0)&gt;=3,0.7,IF(IFERROR(MATCH(Profiles!W54,{"None","Light","Medium","Heavy"},0)-1,0)&gt;=2,0.85,1)),IF('User Input'!$B$43="joint",IF(OR(IFERROR(MATCH(Profiles!W54,{"None","Light","Medium","Heavy"},0)-1,0)&gt;=3,IFERROR(MATCH(Profiles!AB54,{"Low","Medium","High"},0)-1,0)&gt;=2),0.5,IF(OR(IFERROR(MATCH(Profiles!W54,{"None","Light","Medium","Heavy"},0)-1,0)&gt;=2,IFERROR(MATCH(Profiles!AB54,{"Low","Medium","High"},0)-1,0)&gt;=1),0.75,1)),IF(OR(IFERROR(MATCH(Profiles!W54,{"None","Light","Medium","Heavy"},0)-1,0)&gt;=2,IFERROR(MATCH(Profiles!AB54,{"Low","Medium","High"},0)-1,0)&gt;=2),0.3,IF(OR(IFERROR(MATCH(Profiles!W54,{"None","Light","Medium","Heavy"},0)-1,0)&gt;=1,IFERROR(MATCH(Profiles!AB54,{"Low","Medium","High"},0)-1,0)&gt;=1),0.6,0.9)))))</f>
        <v/>
      </c>
    </row>
    <row r="54" ht="15" customHeight="1" s="37">
      <c r="A54" s="59">
        <f>Profiles!A55</f>
        <v/>
      </c>
      <c r="B54" s="59">
        <f>Profiles!B55</f>
        <v/>
      </c>
      <c r="C54" s="59">
        <f>Profiles!C55</f>
        <v/>
      </c>
      <c r="D54" s="59">
        <f>Profiles!D55</f>
        <v/>
      </c>
      <c r="E54" s="60">
        <f>IF(ISNUMBER(Profiles!E55),IF(ISNUMBER(Profiles!F55),MAX(0,1-(MAX(0,ABS('User Input'!$B$9-Profiles!E55)-Profiles!F55))/Profiles!F55/3),MAX(0,1-ABS('User Input'!$B$9-Profiles!E55)/(Profiles!E55*0.1)/3)),0.5)</f>
        <v/>
      </c>
      <c r="F54" s="60">
        <f>IF(ISNUMBER(Profiles!G55),IF(ISNUMBER(Profiles!H55),MAX(0,1-(MAX(0,ABS('User Input'!$B$10-Profiles!G55)-Profiles!H55))/Profiles!H55/3),MAX(0,1-ABS('User Input'!$B$10-Profiles!G55)/(Profiles!G55*0.15)/3)),0.5)</f>
        <v/>
      </c>
      <c r="G54" s="60">
        <f>IF(ISNUMBER(Profiles!J55),MAX(0,1-ABS('User Input'!$B$12-Profiles!J55)/5/3),0.5)</f>
        <v/>
      </c>
      <c r="H54" s="60">
        <f>IF(ISNUMBER(Profiles!K55),MAX(0,1-ABS('User Input'!$B$14-Profiles!K55)/0.03/3),"n/a")</f>
        <v/>
      </c>
      <c r="I54" s="61">
        <f>100*MAX(0,1-(MAX(0,Profiles!M55-'User Input'!$B$17)+0.5*MAX(0,'User Input'!$B$17-Profiles!M55)+MAX(0,Profiles!N55-'User Input'!$B$18)+0.5*MAX(0,'User Input'!$B$18-Profiles!N55)+MAX(0,Profiles!O55-'User Input'!$B$19)+0.5*MAX(0,'User Input'!$B$19-Profiles!O55)+MAX(0,Profiles!P55-'User Input'!$B$20)+0.5*MAX(0,'User Input'!$B$20-Profiles!P55)+MAX(0,Profiles!Q55-'User Input'!$B$21)+0.5*MAX(0,'User Input'!$B$21-Profiles!Q55)+MAX(0,Profiles!S55-'User Input'!$B$22)+0.5*MAX(0,'User Input'!$B$22-Profiles!S55)+MAX(0,Profiles!T55-'User Input'!$B$23)+0.5*MAX(0,'User Input'!$B$23-Profiles!T55)+MAX(0,Profiles!U55-'User Input'!$B$24)+0.5*MAX(0,'User Input'!$B$24-Profiles!U55))/40)</f>
        <v/>
      </c>
      <c r="J54" s="61">
        <f>ROUND(60*(E54+F54+G54+IFERROR(VALUE(H54),(E54+F54+G54)/3))/4 + 0.4*I54,1)</f>
        <v/>
      </c>
      <c r="K54" s="60">
        <f>IF(OR(AND('User Input'!$B$6="M",Profiles!$AG55="M"),AND('User Input'!$B$6="F",Profiles!$AG55="F")),1,0)</f>
        <v/>
      </c>
      <c r="L54" s="60">
        <f>IF('User Input'!$B$27="Either",(IF(Profiles!V55&gt;=4,1,0.3)+IF(OR(Profiles!V55&lt;=2,ISNUMBER(SEARCH("Individual",Profiles!D55))),1,0.3))/2,IF('User Input'!$B$27="Team",IF(Profiles!V55&gt;=4,1,0.3),IF(OR(Profiles!V55&lt;=2,ISNUMBER(SEARCH("Individual",Profiles!D55))),1,0.3)))</f>
        <v/>
      </c>
      <c r="M54" s="60">
        <f>IF(IFERROR(MATCH(Profiles!W55,{"None","Light","Medium","Heavy"},0)-1,0)&lt;=IFERROR(MATCH('User Input'!$B$28,{"None","Light","Medium","Heavy"},0)-1,3),1,MAX(0,1-0.4*(IFERROR(MATCH(Profiles!W55,{"None","Light","Medium","Heavy"},0)-1,0)-IFERROR(MATCH('User Input'!$B$28,{"None","Light","Medium","Heavy"},0)-1,3))))</f>
        <v/>
      </c>
      <c r="N54" s="60">
        <f>IF('User Input'!$B$29="neutral",1,IF('User Input'!$B$29="essential",IF(ISNUMBER(SEARCH("Outdoor",Profiles!X55)),1,0.3),IF('User Input'!$B$29="nice",IF(ISNUMBER(SEARCH("Outdoor",Profiles!X55)),1,0.65),IF('User Input'!$B$29="indoor",IF(ISNUMBER(SEARCH("Indoor",Profiles!X55)),1,0.4),1))))</f>
        <v/>
      </c>
      <c r="O54" s="60">
        <f>IF('User Input'!$B$30="Yes",1,IF(Profiles!Y55="Yes",0,1))</f>
        <v/>
      </c>
      <c r="P54" s="60">
        <f>IF(IFERROR(MATCH(Profiles!Z55,{"Low","Medium","High"},0),2)&lt;=IFERROR(MATCH('User Input'!$B$31,{"Low","Medium","High"},0),2),1,MAX(0,1-0.4*(IFERROR(MATCH(Profiles!Z55,{"Low","Medium","High"},0),2)-IFERROR(MATCH('User Input'!$B$31,{"Low","Medium","High"},0),2))))</f>
        <v/>
      </c>
      <c r="Q54" s="60">
        <f>IF('User Input'!$B$32="Yes",IF(ISNUMBER(Profiles!AC55),Profiles!AC55/10,0.5),1)</f>
        <v/>
      </c>
      <c r="R54" s="61">
        <f>IF(OR(K54=0,O54=0),0,ROUND(MIN(100,100*(K54*0.1+L54*0.2+M54*0.2+N54*0.1+P54*0.15+Q54*0.25)*W54*X54*Y54*Z54),1))</f>
        <v/>
      </c>
      <c r="S54" s="61">
        <f>IF(R54=0,0,ROUND(0.5*J54+0.5*R54,1))</f>
        <v/>
      </c>
      <c r="T54" s="36">
        <f>J54-ROW()/1000000</f>
        <v/>
      </c>
      <c r="U54" s="36">
        <f>R54-ROW()/1000000</f>
        <v/>
      </c>
      <c r="V54" s="36">
        <f>S54-ROW()/1000000</f>
        <v/>
      </c>
      <c r="W54" s="36">
        <f>IF(OR(AND(OR(Profiles!D55="Team field",Profiles!D55="Team field contact",Profiles!D55="Team field stick"),'User Input'!$B$34="Yes"),AND(OR(Profiles!D55="Team court",Profiles!D55="Team court contact"),'User Input'!$B$35="Yes"),AND(Profiles!D55="Individual racquet",'User Input'!$B$36="Yes"),AND(OR(Profiles!D55="Combat striking",Profiles!D55="Combat grappling",Profiles!D55="Combat mixed"),'User Input'!$B$37="Yes"),AND(OR(Profiles!D55="Team water contact",Profiles!D55="Individual water"),'User Input'!$B$38="Yes"),AND(OR(Profiles!D55="Endurance individual",Profiles!D55="Endurance individual / pair",Profiles!D55="Endurance individual / pursuit",Profiles!D55="Endurance team / pair",Profiles!D55="Endurance multi"),'User Input'!$B$39="Yes"),AND(OR(Profiles!D55="Strength individual",Profiles!D55="Power-throw individual"),'User Input'!$B$40="Yes"),AND(OR(Profiles!D55="Individual technical",Profiles!D55="Individual aesthetic",Profiles!D55="Team precision"),'User Input'!$B$41="Yes")),1.15,1)</f>
        <v/>
      </c>
      <c r="X54" s="36">
        <f>IF('User Input'!$B$33&lt;&gt;"none",1,IF(IFERROR(VALUE(TRIM(MID(SUBSTITUTE(SUBSTITUTE(Profiles!AA55,"–","-"),"-",REPT(" ",100)),100,100)))&lt;=14,FALSE),0.7,1))</f>
        <v/>
      </c>
      <c r="Y54" s="36">
        <f>IF(OR('User Input'!$B$42="under30",'User Input'!$B$42=""),1,IF('User Input'!$B$42="30to45",IF((IFERROR(MATCH(Profiles!W55,{"None","Light","Medium","Heavy"},0)-1,0)+IFERROR(MATCH(Profiles!AB55,{"Low","Medium","High"},0)-1,0))&gt;=5,0.85,1),IF('User Input'!$B$42="46to60",IF((IFERROR(MATCH(Profiles!W55,{"None","Light","Medium","Heavy"},0)-1,0)+IFERROR(MATCH(Profiles!AB55,{"Low","Medium","High"},0)-1,0))&gt;=5,0.65,IF((IFERROR(MATCH(Profiles!W55,{"None","Light","Medium","Heavy"},0)-1,0)+IFERROR(MATCH(Profiles!AB55,{"Low","Medium","High"},0)-1,0))&gt;=4,0.8,IF((IFERROR(MATCH(Profiles!W55,{"None","Light","Medium","Heavy"},0)-1,0)+IFERROR(MATCH(Profiles!AB55,{"Low","Medium","High"},0)-1,0))&gt;=3,0.9,1))),IF((IFERROR(MATCH(Profiles!W55,{"None","Light","Medium","Heavy"},0)-1,0)+IFERROR(MATCH(Profiles!AB55,{"Low","Medium","High"},0)-1,0))&gt;=5,0.4,IF((IFERROR(MATCH(Profiles!W55,{"None","Light","Medium","Heavy"},0)-1,0)+IFERROR(MATCH(Profiles!AB55,{"Low","Medium","High"},0)-1,0))&gt;=4,0.6,IF((IFERROR(MATCH(Profiles!W55,{"None","Light","Medium","Heavy"},0)-1,0)+IFERROR(MATCH(Profiles!AB55,{"Low","Medium","High"},0)-1,0))&gt;=3,0.75,IF((IFERROR(MATCH(Profiles!W55,{"None","Light","Medium","Heavy"},0)-1,0)+IFERROR(MATCH(Profiles!AB55,{"Low","Medium","High"},0)-1,0))&gt;=2,0.85,1)))))))</f>
        <v/>
      </c>
      <c r="Z54" s="36">
        <f>IF(OR('User Input'!$B$43="none",'User Input'!$B$43=""),1,IF('User Input'!$B$43="minor",IF(IFERROR(MATCH(Profiles!W55,{"None","Light","Medium","Heavy"},0)-1,0)&gt;=3,0.7,IF(IFERROR(MATCH(Profiles!W55,{"None","Light","Medium","Heavy"},0)-1,0)&gt;=2,0.85,1)),IF('User Input'!$B$43="joint",IF(OR(IFERROR(MATCH(Profiles!W55,{"None","Light","Medium","Heavy"},0)-1,0)&gt;=3,IFERROR(MATCH(Profiles!AB55,{"Low","Medium","High"},0)-1,0)&gt;=2),0.5,IF(OR(IFERROR(MATCH(Profiles!W55,{"None","Light","Medium","Heavy"},0)-1,0)&gt;=2,IFERROR(MATCH(Profiles!AB55,{"Low","Medium","High"},0)-1,0)&gt;=1),0.75,1)),IF(OR(IFERROR(MATCH(Profiles!W55,{"None","Light","Medium","Heavy"},0)-1,0)&gt;=2,IFERROR(MATCH(Profiles!AB55,{"Low","Medium","High"},0)-1,0)&gt;=2),0.3,IF(OR(IFERROR(MATCH(Profiles!W55,{"None","Light","Medium","Heavy"},0)-1,0)&gt;=1,IFERROR(MATCH(Profiles!AB55,{"Low","Medium","High"},0)-1,0)&gt;=1),0.6,0.9)))))</f>
        <v/>
      </c>
    </row>
    <row r="55" ht="23.25" customHeight="1" s="37">
      <c r="A55" s="59">
        <f>Profiles!A56</f>
        <v/>
      </c>
      <c r="B55" s="59">
        <f>Profiles!B56</f>
        <v/>
      </c>
      <c r="C55" s="59">
        <f>Profiles!C56</f>
        <v/>
      </c>
      <c r="D55" s="59">
        <f>Profiles!D56</f>
        <v/>
      </c>
      <c r="E55" s="60">
        <f>IF(ISNUMBER(Profiles!E56),IF(ISNUMBER(Profiles!F56),MAX(0,1-(MAX(0,ABS('User Input'!$B$9-Profiles!E56)-Profiles!F56))/Profiles!F56/3),MAX(0,1-ABS('User Input'!$B$9-Profiles!E56)/(Profiles!E56*0.1)/3)),0.5)</f>
        <v/>
      </c>
      <c r="F55" s="60">
        <f>IF(ISNUMBER(Profiles!G56),IF(ISNUMBER(Profiles!H56),MAX(0,1-(MAX(0,ABS('User Input'!$B$10-Profiles!G56)-Profiles!H56))/Profiles!H56/3),MAX(0,1-ABS('User Input'!$B$10-Profiles!G56)/(Profiles!G56*0.15)/3)),0.5)</f>
        <v/>
      </c>
      <c r="G55" s="60">
        <f>IF(ISNUMBER(Profiles!J56),MAX(0,1-ABS('User Input'!$B$12-Profiles!J56)/5/3),0.5)</f>
        <v/>
      </c>
      <c r="H55" s="60">
        <f>IF(ISNUMBER(Profiles!K56),MAX(0,1-ABS('User Input'!$B$14-Profiles!K56)/0.03/3),"n/a")</f>
        <v/>
      </c>
      <c r="I55" s="61">
        <f>100*MAX(0,1-(MAX(0,Profiles!M56-'User Input'!$B$17)+0.5*MAX(0,'User Input'!$B$17-Profiles!M56)+MAX(0,Profiles!N56-'User Input'!$B$18)+0.5*MAX(0,'User Input'!$B$18-Profiles!N56)+MAX(0,Profiles!O56-'User Input'!$B$19)+0.5*MAX(0,'User Input'!$B$19-Profiles!O56)+MAX(0,Profiles!P56-'User Input'!$B$20)+0.5*MAX(0,'User Input'!$B$20-Profiles!P56)+MAX(0,Profiles!Q56-'User Input'!$B$21)+0.5*MAX(0,'User Input'!$B$21-Profiles!Q56)+MAX(0,Profiles!S56-'User Input'!$B$22)+0.5*MAX(0,'User Input'!$B$22-Profiles!S56)+MAX(0,Profiles!T56-'User Input'!$B$23)+0.5*MAX(0,'User Input'!$B$23-Profiles!T56)+MAX(0,Profiles!U56-'User Input'!$B$24)+0.5*MAX(0,'User Input'!$B$24-Profiles!U56))/40)</f>
        <v/>
      </c>
      <c r="J55" s="61">
        <f>ROUND(60*(E55+F55+G55+IFERROR(VALUE(H55),(E55+F55+G55)/3))/4 + 0.4*I55,1)</f>
        <v/>
      </c>
      <c r="K55" s="60">
        <f>IF(OR(AND('User Input'!$B$6="M",Profiles!$AG56="M"),AND('User Input'!$B$6="F",Profiles!$AG56="F")),1,0)</f>
        <v/>
      </c>
      <c r="L55" s="60">
        <f>IF('User Input'!$B$27="Either",(IF(Profiles!V56&gt;=4,1,0.3)+IF(OR(Profiles!V56&lt;=2,ISNUMBER(SEARCH("Individual",Profiles!D56))),1,0.3))/2,IF('User Input'!$B$27="Team",IF(Profiles!V56&gt;=4,1,0.3),IF(OR(Profiles!V56&lt;=2,ISNUMBER(SEARCH("Individual",Profiles!D56))),1,0.3)))</f>
        <v/>
      </c>
      <c r="M55" s="60">
        <f>IF(IFERROR(MATCH(Profiles!W56,{"None","Light","Medium","Heavy"},0)-1,0)&lt;=IFERROR(MATCH('User Input'!$B$28,{"None","Light","Medium","Heavy"},0)-1,3),1,MAX(0,1-0.4*(IFERROR(MATCH(Profiles!W56,{"None","Light","Medium","Heavy"},0)-1,0)-IFERROR(MATCH('User Input'!$B$28,{"None","Light","Medium","Heavy"},0)-1,3))))</f>
        <v/>
      </c>
      <c r="N55" s="60">
        <f>IF('User Input'!$B$29="neutral",1,IF('User Input'!$B$29="essential",IF(ISNUMBER(SEARCH("Outdoor",Profiles!X56)),1,0.3),IF('User Input'!$B$29="nice",IF(ISNUMBER(SEARCH("Outdoor",Profiles!X56)),1,0.65),IF('User Input'!$B$29="indoor",IF(ISNUMBER(SEARCH("Indoor",Profiles!X56)),1,0.4),1))))</f>
        <v/>
      </c>
      <c r="O55" s="60">
        <f>IF('User Input'!$B$30="Yes",1,IF(Profiles!Y56="Yes",0,1))</f>
        <v/>
      </c>
      <c r="P55" s="60">
        <f>IF(IFERROR(MATCH(Profiles!Z56,{"Low","Medium","High"},0),2)&lt;=IFERROR(MATCH('User Input'!$B$31,{"Low","Medium","High"},0),2),1,MAX(0,1-0.4*(IFERROR(MATCH(Profiles!Z56,{"Low","Medium","High"},0),2)-IFERROR(MATCH('User Input'!$B$31,{"Low","Medium","High"},0),2))))</f>
        <v/>
      </c>
      <c r="Q55" s="60">
        <f>IF('User Input'!$B$32="Yes",IF(ISNUMBER(Profiles!AC56),Profiles!AC56/10,0.5),1)</f>
        <v/>
      </c>
      <c r="R55" s="61">
        <f>IF(OR(K55=0,O55=0),0,ROUND(MIN(100,100*(K55*0.1+L55*0.2+M55*0.2+N55*0.1+P55*0.15+Q55*0.25)*W55*X55*Y55*Z55),1))</f>
        <v/>
      </c>
      <c r="S55" s="61">
        <f>IF(R55=0,0,ROUND(0.5*J55+0.5*R55,1))</f>
        <v/>
      </c>
      <c r="T55" s="36">
        <f>J55-ROW()/1000000</f>
        <v/>
      </c>
      <c r="U55" s="36">
        <f>R55-ROW()/1000000</f>
        <v/>
      </c>
      <c r="V55" s="36">
        <f>S55-ROW()/1000000</f>
        <v/>
      </c>
      <c r="W55" s="36">
        <f>IF(OR(AND(OR(Profiles!D56="Team field",Profiles!D56="Team field contact",Profiles!D56="Team field stick"),'User Input'!$B$34="Yes"),AND(OR(Profiles!D56="Team court",Profiles!D56="Team court contact"),'User Input'!$B$35="Yes"),AND(Profiles!D56="Individual racquet",'User Input'!$B$36="Yes"),AND(OR(Profiles!D56="Combat striking",Profiles!D56="Combat grappling",Profiles!D56="Combat mixed"),'User Input'!$B$37="Yes"),AND(OR(Profiles!D56="Team water contact",Profiles!D56="Individual water"),'User Input'!$B$38="Yes"),AND(OR(Profiles!D56="Endurance individual",Profiles!D56="Endurance individual / pair",Profiles!D56="Endurance individual / pursuit",Profiles!D56="Endurance team / pair",Profiles!D56="Endurance multi"),'User Input'!$B$39="Yes"),AND(OR(Profiles!D56="Strength individual",Profiles!D56="Power-throw individual"),'User Input'!$B$40="Yes"),AND(OR(Profiles!D56="Individual technical",Profiles!D56="Individual aesthetic",Profiles!D56="Team precision"),'User Input'!$B$41="Yes")),1.15,1)</f>
        <v/>
      </c>
      <c r="X55" s="36">
        <f>IF('User Input'!$B$33&lt;&gt;"none",1,IF(IFERROR(VALUE(TRIM(MID(SUBSTITUTE(SUBSTITUTE(Profiles!AA56,"–","-"),"-",REPT(" ",100)),100,100)))&lt;=14,FALSE),0.7,1))</f>
        <v/>
      </c>
      <c r="Y55" s="36">
        <f>IF(OR('User Input'!$B$42="under30",'User Input'!$B$42=""),1,IF('User Input'!$B$42="30to45",IF((IFERROR(MATCH(Profiles!W56,{"None","Light","Medium","Heavy"},0)-1,0)+IFERROR(MATCH(Profiles!AB56,{"Low","Medium","High"},0)-1,0))&gt;=5,0.85,1),IF('User Input'!$B$42="46to60",IF((IFERROR(MATCH(Profiles!W56,{"None","Light","Medium","Heavy"},0)-1,0)+IFERROR(MATCH(Profiles!AB56,{"Low","Medium","High"},0)-1,0))&gt;=5,0.65,IF((IFERROR(MATCH(Profiles!W56,{"None","Light","Medium","Heavy"},0)-1,0)+IFERROR(MATCH(Profiles!AB56,{"Low","Medium","High"},0)-1,0))&gt;=4,0.8,IF((IFERROR(MATCH(Profiles!W56,{"None","Light","Medium","Heavy"},0)-1,0)+IFERROR(MATCH(Profiles!AB56,{"Low","Medium","High"},0)-1,0))&gt;=3,0.9,1))),IF((IFERROR(MATCH(Profiles!W56,{"None","Light","Medium","Heavy"},0)-1,0)+IFERROR(MATCH(Profiles!AB56,{"Low","Medium","High"},0)-1,0))&gt;=5,0.4,IF((IFERROR(MATCH(Profiles!W56,{"None","Light","Medium","Heavy"},0)-1,0)+IFERROR(MATCH(Profiles!AB56,{"Low","Medium","High"},0)-1,0))&gt;=4,0.6,IF((IFERROR(MATCH(Profiles!W56,{"None","Light","Medium","Heavy"},0)-1,0)+IFERROR(MATCH(Profiles!AB56,{"Low","Medium","High"},0)-1,0))&gt;=3,0.75,IF((IFERROR(MATCH(Profiles!W56,{"None","Light","Medium","Heavy"},0)-1,0)+IFERROR(MATCH(Profiles!AB56,{"Low","Medium","High"},0)-1,0))&gt;=2,0.85,1)))))))</f>
        <v/>
      </c>
      <c r="Z55" s="36">
        <f>IF(OR('User Input'!$B$43="none",'User Input'!$B$43=""),1,IF('User Input'!$B$43="minor",IF(IFERROR(MATCH(Profiles!W56,{"None","Light","Medium","Heavy"},0)-1,0)&gt;=3,0.7,IF(IFERROR(MATCH(Profiles!W56,{"None","Light","Medium","Heavy"},0)-1,0)&gt;=2,0.85,1)),IF('User Input'!$B$43="joint",IF(OR(IFERROR(MATCH(Profiles!W56,{"None","Light","Medium","Heavy"},0)-1,0)&gt;=3,IFERROR(MATCH(Profiles!AB56,{"Low","Medium","High"},0)-1,0)&gt;=2),0.5,IF(OR(IFERROR(MATCH(Profiles!W56,{"None","Light","Medium","Heavy"},0)-1,0)&gt;=2,IFERROR(MATCH(Profiles!AB56,{"Low","Medium","High"},0)-1,0)&gt;=1),0.75,1)),IF(OR(IFERROR(MATCH(Profiles!W56,{"None","Light","Medium","Heavy"},0)-1,0)&gt;=2,IFERROR(MATCH(Profiles!AB56,{"Low","Medium","High"},0)-1,0)&gt;=2),0.3,IF(OR(IFERROR(MATCH(Profiles!W56,{"None","Light","Medium","Heavy"},0)-1,0)&gt;=1,IFERROR(MATCH(Profiles!AB56,{"Low","Medium","High"},0)-1,0)&gt;=1),0.6,0.9)))))</f>
        <v/>
      </c>
    </row>
    <row r="56" ht="23.25" customHeight="1" s="37">
      <c r="A56" s="59">
        <f>Profiles!A57</f>
        <v/>
      </c>
      <c r="B56" s="59">
        <f>Profiles!B57</f>
        <v/>
      </c>
      <c r="C56" s="59">
        <f>Profiles!C57</f>
        <v/>
      </c>
      <c r="D56" s="59">
        <f>Profiles!D57</f>
        <v/>
      </c>
      <c r="E56" s="60">
        <f>IF(ISNUMBER(Profiles!E57),IF(ISNUMBER(Profiles!F57),MAX(0,1-(MAX(0,ABS('User Input'!$B$9-Profiles!E57)-Profiles!F57))/Profiles!F57/3),MAX(0,1-ABS('User Input'!$B$9-Profiles!E57)/(Profiles!E57*0.1)/3)),0.5)</f>
        <v/>
      </c>
      <c r="F56" s="60">
        <f>IF(ISNUMBER(Profiles!G57),IF(ISNUMBER(Profiles!H57),MAX(0,1-(MAX(0,ABS('User Input'!$B$10-Profiles!G57)-Profiles!H57))/Profiles!H57/3),MAX(0,1-ABS('User Input'!$B$10-Profiles!G57)/(Profiles!G57*0.15)/3)),0.5)</f>
        <v/>
      </c>
      <c r="G56" s="60">
        <f>IF(ISNUMBER(Profiles!J57),MAX(0,1-ABS('User Input'!$B$12-Profiles!J57)/5/3),0.5)</f>
        <v/>
      </c>
      <c r="H56" s="60">
        <f>IF(ISNUMBER(Profiles!K57),MAX(0,1-ABS('User Input'!$B$14-Profiles!K57)/0.03/3),"n/a")</f>
        <v/>
      </c>
      <c r="I56" s="61">
        <f>100*MAX(0,1-(MAX(0,Profiles!M57-'User Input'!$B$17)+0.5*MAX(0,'User Input'!$B$17-Profiles!M57)+MAX(0,Profiles!N57-'User Input'!$B$18)+0.5*MAX(0,'User Input'!$B$18-Profiles!N57)+MAX(0,Profiles!O57-'User Input'!$B$19)+0.5*MAX(0,'User Input'!$B$19-Profiles!O57)+MAX(0,Profiles!P57-'User Input'!$B$20)+0.5*MAX(0,'User Input'!$B$20-Profiles!P57)+MAX(0,Profiles!Q57-'User Input'!$B$21)+0.5*MAX(0,'User Input'!$B$21-Profiles!Q57)+MAX(0,Profiles!S57-'User Input'!$B$22)+0.5*MAX(0,'User Input'!$B$22-Profiles!S57)+MAX(0,Profiles!T57-'User Input'!$B$23)+0.5*MAX(0,'User Input'!$B$23-Profiles!T57)+MAX(0,Profiles!U57-'User Input'!$B$24)+0.5*MAX(0,'User Input'!$B$24-Profiles!U57))/40)</f>
        <v/>
      </c>
      <c r="J56" s="61">
        <f>ROUND(60*(E56+F56+G56+IFERROR(VALUE(H56),(E56+F56+G56)/3))/4 + 0.4*I56,1)</f>
        <v/>
      </c>
      <c r="K56" s="60">
        <f>IF(OR(AND('User Input'!$B$6="M",Profiles!$AG57="M"),AND('User Input'!$B$6="F",Profiles!$AG57="F")),1,0)</f>
        <v/>
      </c>
      <c r="L56" s="60">
        <f>IF('User Input'!$B$27="Either",(IF(Profiles!V57&gt;=4,1,0.3)+IF(OR(Profiles!V57&lt;=2,ISNUMBER(SEARCH("Individual",Profiles!D57))),1,0.3))/2,IF('User Input'!$B$27="Team",IF(Profiles!V57&gt;=4,1,0.3),IF(OR(Profiles!V57&lt;=2,ISNUMBER(SEARCH("Individual",Profiles!D57))),1,0.3)))</f>
        <v/>
      </c>
      <c r="M56" s="60">
        <f>IF(IFERROR(MATCH(Profiles!W57,{"None","Light","Medium","Heavy"},0)-1,0)&lt;=IFERROR(MATCH('User Input'!$B$28,{"None","Light","Medium","Heavy"},0)-1,3),1,MAX(0,1-0.4*(IFERROR(MATCH(Profiles!W57,{"None","Light","Medium","Heavy"},0)-1,0)-IFERROR(MATCH('User Input'!$B$28,{"None","Light","Medium","Heavy"},0)-1,3))))</f>
        <v/>
      </c>
      <c r="N56" s="60">
        <f>IF('User Input'!$B$29="neutral",1,IF('User Input'!$B$29="essential",IF(ISNUMBER(SEARCH("Outdoor",Profiles!X57)),1,0.3),IF('User Input'!$B$29="nice",IF(ISNUMBER(SEARCH("Outdoor",Profiles!X57)),1,0.65),IF('User Input'!$B$29="indoor",IF(ISNUMBER(SEARCH("Indoor",Profiles!X57)),1,0.4),1))))</f>
        <v/>
      </c>
      <c r="O56" s="60">
        <f>IF('User Input'!$B$30="Yes",1,IF(Profiles!Y57="Yes",0,1))</f>
        <v/>
      </c>
      <c r="P56" s="60">
        <f>IF(IFERROR(MATCH(Profiles!Z57,{"Low","Medium","High"},0),2)&lt;=IFERROR(MATCH('User Input'!$B$31,{"Low","Medium","High"},0),2),1,MAX(0,1-0.4*(IFERROR(MATCH(Profiles!Z57,{"Low","Medium","High"},0),2)-IFERROR(MATCH('User Input'!$B$31,{"Low","Medium","High"},0),2))))</f>
        <v/>
      </c>
      <c r="Q56" s="60">
        <f>IF('User Input'!$B$32="Yes",IF(ISNUMBER(Profiles!AC57),Profiles!AC57/10,0.5),1)</f>
        <v/>
      </c>
      <c r="R56" s="61">
        <f>IF(OR(K56=0,O56=0),0,ROUND(MIN(100,100*(K56*0.1+L56*0.2+M56*0.2+N56*0.1+P56*0.15+Q56*0.25)*W56*X56*Y56*Z56),1))</f>
        <v/>
      </c>
      <c r="S56" s="61">
        <f>IF(R56=0,0,ROUND(0.5*J56+0.5*R56,1))</f>
        <v/>
      </c>
      <c r="T56" s="36">
        <f>J56-ROW()/1000000</f>
        <v/>
      </c>
      <c r="U56" s="36">
        <f>R56-ROW()/1000000</f>
        <v/>
      </c>
      <c r="V56" s="36">
        <f>S56-ROW()/1000000</f>
        <v/>
      </c>
      <c r="W56" s="36">
        <f>IF(OR(AND(OR(Profiles!D57="Team field",Profiles!D57="Team field contact",Profiles!D57="Team field stick"),'User Input'!$B$34="Yes"),AND(OR(Profiles!D57="Team court",Profiles!D57="Team court contact"),'User Input'!$B$35="Yes"),AND(Profiles!D57="Individual racquet",'User Input'!$B$36="Yes"),AND(OR(Profiles!D57="Combat striking",Profiles!D57="Combat grappling",Profiles!D57="Combat mixed"),'User Input'!$B$37="Yes"),AND(OR(Profiles!D57="Team water contact",Profiles!D57="Individual water"),'User Input'!$B$38="Yes"),AND(OR(Profiles!D57="Endurance individual",Profiles!D57="Endurance individual / pair",Profiles!D57="Endurance individual / pursuit",Profiles!D57="Endurance team / pair",Profiles!D57="Endurance multi"),'User Input'!$B$39="Yes"),AND(OR(Profiles!D57="Strength individual",Profiles!D57="Power-throw individual"),'User Input'!$B$40="Yes"),AND(OR(Profiles!D57="Individual technical",Profiles!D57="Individual aesthetic",Profiles!D57="Team precision"),'User Input'!$B$41="Yes")),1.15,1)</f>
        <v/>
      </c>
      <c r="X56" s="36">
        <f>IF('User Input'!$B$33&lt;&gt;"none",1,IF(IFERROR(VALUE(TRIM(MID(SUBSTITUTE(SUBSTITUTE(Profiles!AA57,"–","-"),"-",REPT(" ",100)),100,100)))&lt;=14,FALSE),0.7,1))</f>
        <v/>
      </c>
      <c r="Y56" s="36">
        <f>IF(OR('User Input'!$B$42="under30",'User Input'!$B$42=""),1,IF('User Input'!$B$42="30to45",IF((IFERROR(MATCH(Profiles!W57,{"None","Light","Medium","Heavy"},0)-1,0)+IFERROR(MATCH(Profiles!AB57,{"Low","Medium","High"},0)-1,0))&gt;=5,0.85,1),IF('User Input'!$B$42="46to60",IF((IFERROR(MATCH(Profiles!W57,{"None","Light","Medium","Heavy"},0)-1,0)+IFERROR(MATCH(Profiles!AB57,{"Low","Medium","High"},0)-1,0))&gt;=5,0.65,IF((IFERROR(MATCH(Profiles!W57,{"None","Light","Medium","Heavy"},0)-1,0)+IFERROR(MATCH(Profiles!AB57,{"Low","Medium","High"},0)-1,0))&gt;=4,0.8,IF((IFERROR(MATCH(Profiles!W57,{"None","Light","Medium","Heavy"},0)-1,0)+IFERROR(MATCH(Profiles!AB57,{"Low","Medium","High"},0)-1,0))&gt;=3,0.9,1))),IF((IFERROR(MATCH(Profiles!W57,{"None","Light","Medium","Heavy"},0)-1,0)+IFERROR(MATCH(Profiles!AB57,{"Low","Medium","High"},0)-1,0))&gt;=5,0.4,IF((IFERROR(MATCH(Profiles!W57,{"None","Light","Medium","Heavy"},0)-1,0)+IFERROR(MATCH(Profiles!AB57,{"Low","Medium","High"},0)-1,0))&gt;=4,0.6,IF((IFERROR(MATCH(Profiles!W57,{"None","Light","Medium","Heavy"},0)-1,0)+IFERROR(MATCH(Profiles!AB57,{"Low","Medium","High"},0)-1,0))&gt;=3,0.75,IF((IFERROR(MATCH(Profiles!W57,{"None","Light","Medium","Heavy"},0)-1,0)+IFERROR(MATCH(Profiles!AB57,{"Low","Medium","High"},0)-1,0))&gt;=2,0.85,1)))))))</f>
        <v/>
      </c>
      <c r="Z56" s="36">
        <f>IF(OR('User Input'!$B$43="none",'User Input'!$B$43=""),1,IF('User Input'!$B$43="minor",IF(IFERROR(MATCH(Profiles!W57,{"None","Light","Medium","Heavy"},0)-1,0)&gt;=3,0.7,IF(IFERROR(MATCH(Profiles!W57,{"None","Light","Medium","Heavy"},0)-1,0)&gt;=2,0.85,1)),IF('User Input'!$B$43="joint",IF(OR(IFERROR(MATCH(Profiles!W57,{"None","Light","Medium","Heavy"},0)-1,0)&gt;=3,IFERROR(MATCH(Profiles!AB57,{"Low","Medium","High"},0)-1,0)&gt;=2),0.5,IF(OR(IFERROR(MATCH(Profiles!W57,{"None","Light","Medium","Heavy"},0)-1,0)&gt;=2,IFERROR(MATCH(Profiles!AB57,{"Low","Medium","High"},0)-1,0)&gt;=1),0.75,1)),IF(OR(IFERROR(MATCH(Profiles!W57,{"None","Light","Medium","Heavy"},0)-1,0)&gt;=2,IFERROR(MATCH(Profiles!AB57,{"Low","Medium","High"},0)-1,0)&gt;=2),0.3,IF(OR(IFERROR(MATCH(Profiles!W57,{"None","Light","Medium","Heavy"},0)-1,0)&gt;=1,IFERROR(MATCH(Profiles!AB57,{"Low","Medium","High"},0)-1,0)&gt;=1),0.6,0.9)))))</f>
        <v/>
      </c>
    </row>
    <row r="57" ht="23.25" customHeight="1" s="37">
      <c r="A57" s="59">
        <f>Profiles!A58</f>
        <v/>
      </c>
      <c r="B57" s="59">
        <f>Profiles!B58</f>
        <v/>
      </c>
      <c r="C57" s="59">
        <f>Profiles!C58</f>
        <v/>
      </c>
      <c r="D57" s="59">
        <f>Profiles!D58</f>
        <v/>
      </c>
      <c r="E57" s="60">
        <f>IF(ISNUMBER(Profiles!E58),IF(ISNUMBER(Profiles!F58),MAX(0,1-(MAX(0,ABS('User Input'!$B$9-Profiles!E58)-Profiles!F58))/Profiles!F58/3),MAX(0,1-ABS('User Input'!$B$9-Profiles!E58)/(Profiles!E58*0.1)/3)),0.5)</f>
        <v/>
      </c>
      <c r="F57" s="60">
        <f>IF(ISNUMBER(Profiles!G58),IF(ISNUMBER(Profiles!H58),MAX(0,1-(MAX(0,ABS('User Input'!$B$10-Profiles!G58)-Profiles!H58))/Profiles!H58/3),MAX(0,1-ABS('User Input'!$B$10-Profiles!G58)/(Profiles!G58*0.15)/3)),0.5)</f>
        <v/>
      </c>
      <c r="G57" s="60">
        <f>IF(ISNUMBER(Profiles!J58),MAX(0,1-ABS('User Input'!$B$12-Profiles!J58)/5/3),0.5)</f>
        <v/>
      </c>
      <c r="H57" s="60">
        <f>IF(ISNUMBER(Profiles!K58),MAX(0,1-ABS('User Input'!$B$14-Profiles!K58)/0.03/3),"n/a")</f>
        <v/>
      </c>
      <c r="I57" s="61">
        <f>100*MAX(0,1-(MAX(0,Profiles!M58-'User Input'!$B$17)+0.5*MAX(0,'User Input'!$B$17-Profiles!M58)+MAX(0,Profiles!N58-'User Input'!$B$18)+0.5*MAX(0,'User Input'!$B$18-Profiles!N58)+MAX(0,Profiles!O58-'User Input'!$B$19)+0.5*MAX(0,'User Input'!$B$19-Profiles!O58)+MAX(0,Profiles!P58-'User Input'!$B$20)+0.5*MAX(0,'User Input'!$B$20-Profiles!P58)+MAX(0,Profiles!Q58-'User Input'!$B$21)+0.5*MAX(0,'User Input'!$B$21-Profiles!Q58)+MAX(0,Profiles!S58-'User Input'!$B$22)+0.5*MAX(0,'User Input'!$B$22-Profiles!S58)+MAX(0,Profiles!T58-'User Input'!$B$23)+0.5*MAX(0,'User Input'!$B$23-Profiles!T58)+MAX(0,Profiles!U58-'User Input'!$B$24)+0.5*MAX(0,'User Input'!$B$24-Profiles!U58))/40)</f>
        <v/>
      </c>
      <c r="J57" s="61">
        <f>ROUND(60*(E57+F57+G57+IFERROR(VALUE(H57),(E57+F57+G57)/3))/4 + 0.4*I57,1)</f>
        <v/>
      </c>
      <c r="K57" s="60">
        <f>IF(OR(AND('User Input'!$B$6="M",Profiles!$AG58="M"),AND('User Input'!$B$6="F",Profiles!$AG58="F")),1,0)</f>
        <v/>
      </c>
      <c r="L57" s="60">
        <f>IF('User Input'!$B$27="Either",(IF(Profiles!V58&gt;=4,1,0.3)+IF(OR(Profiles!V58&lt;=2,ISNUMBER(SEARCH("Individual",Profiles!D58))),1,0.3))/2,IF('User Input'!$B$27="Team",IF(Profiles!V58&gt;=4,1,0.3),IF(OR(Profiles!V58&lt;=2,ISNUMBER(SEARCH("Individual",Profiles!D58))),1,0.3)))</f>
        <v/>
      </c>
      <c r="M57" s="60">
        <f>IF(IFERROR(MATCH(Profiles!W58,{"None","Light","Medium","Heavy"},0)-1,0)&lt;=IFERROR(MATCH('User Input'!$B$28,{"None","Light","Medium","Heavy"},0)-1,3),1,MAX(0,1-0.4*(IFERROR(MATCH(Profiles!W58,{"None","Light","Medium","Heavy"},0)-1,0)-IFERROR(MATCH('User Input'!$B$28,{"None","Light","Medium","Heavy"},0)-1,3))))</f>
        <v/>
      </c>
      <c r="N57" s="60">
        <f>IF('User Input'!$B$29="neutral",1,IF('User Input'!$B$29="essential",IF(ISNUMBER(SEARCH("Outdoor",Profiles!X58)),1,0.3),IF('User Input'!$B$29="nice",IF(ISNUMBER(SEARCH("Outdoor",Profiles!X58)),1,0.65),IF('User Input'!$B$29="indoor",IF(ISNUMBER(SEARCH("Indoor",Profiles!X58)),1,0.4),1))))</f>
        <v/>
      </c>
      <c r="O57" s="60">
        <f>IF('User Input'!$B$30="Yes",1,IF(Profiles!Y58="Yes",0,1))</f>
        <v/>
      </c>
      <c r="P57" s="60">
        <f>IF(IFERROR(MATCH(Profiles!Z58,{"Low","Medium","High"},0),2)&lt;=IFERROR(MATCH('User Input'!$B$31,{"Low","Medium","High"},0),2),1,MAX(0,1-0.4*(IFERROR(MATCH(Profiles!Z58,{"Low","Medium","High"},0),2)-IFERROR(MATCH('User Input'!$B$31,{"Low","Medium","High"},0),2))))</f>
        <v/>
      </c>
      <c r="Q57" s="60">
        <f>IF('User Input'!$B$32="Yes",IF(ISNUMBER(Profiles!AC58),Profiles!AC58/10,0.5),1)</f>
        <v/>
      </c>
      <c r="R57" s="61">
        <f>IF(OR(K57=0,O57=0),0,ROUND(MIN(100,100*(K57*0.1+L57*0.2+M57*0.2+N57*0.1+P57*0.15+Q57*0.25)*W57*X57*Y57*Z57),1))</f>
        <v/>
      </c>
      <c r="S57" s="61">
        <f>IF(R57=0,0,ROUND(0.5*J57+0.5*R57,1))</f>
        <v/>
      </c>
      <c r="T57" s="36">
        <f>J57-ROW()/1000000</f>
        <v/>
      </c>
      <c r="U57" s="36">
        <f>R57-ROW()/1000000</f>
        <v/>
      </c>
      <c r="V57" s="36">
        <f>S57-ROW()/1000000</f>
        <v/>
      </c>
      <c r="W57" s="36">
        <f>IF(OR(AND(OR(Profiles!D58="Team field",Profiles!D58="Team field contact",Profiles!D58="Team field stick"),'User Input'!$B$34="Yes"),AND(OR(Profiles!D58="Team court",Profiles!D58="Team court contact"),'User Input'!$B$35="Yes"),AND(Profiles!D58="Individual racquet",'User Input'!$B$36="Yes"),AND(OR(Profiles!D58="Combat striking",Profiles!D58="Combat grappling",Profiles!D58="Combat mixed"),'User Input'!$B$37="Yes"),AND(OR(Profiles!D58="Team water contact",Profiles!D58="Individual water"),'User Input'!$B$38="Yes"),AND(OR(Profiles!D58="Endurance individual",Profiles!D58="Endurance individual / pair",Profiles!D58="Endurance individual / pursuit",Profiles!D58="Endurance team / pair",Profiles!D58="Endurance multi"),'User Input'!$B$39="Yes"),AND(OR(Profiles!D58="Strength individual",Profiles!D58="Power-throw individual"),'User Input'!$B$40="Yes"),AND(OR(Profiles!D58="Individual technical",Profiles!D58="Individual aesthetic",Profiles!D58="Team precision"),'User Input'!$B$41="Yes")),1.15,1)</f>
        <v/>
      </c>
      <c r="X57" s="36">
        <f>IF('User Input'!$B$33&lt;&gt;"none",1,IF(IFERROR(VALUE(TRIM(MID(SUBSTITUTE(SUBSTITUTE(Profiles!AA58,"–","-"),"-",REPT(" ",100)),100,100)))&lt;=14,FALSE),0.7,1))</f>
        <v/>
      </c>
      <c r="Y57" s="36">
        <f>IF(OR('User Input'!$B$42="under30",'User Input'!$B$42=""),1,IF('User Input'!$B$42="30to45",IF((IFERROR(MATCH(Profiles!W58,{"None","Light","Medium","Heavy"},0)-1,0)+IFERROR(MATCH(Profiles!AB58,{"Low","Medium","High"},0)-1,0))&gt;=5,0.85,1),IF('User Input'!$B$42="46to60",IF((IFERROR(MATCH(Profiles!W58,{"None","Light","Medium","Heavy"},0)-1,0)+IFERROR(MATCH(Profiles!AB58,{"Low","Medium","High"},0)-1,0))&gt;=5,0.65,IF((IFERROR(MATCH(Profiles!W58,{"None","Light","Medium","Heavy"},0)-1,0)+IFERROR(MATCH(Profiles!AB58,{"Low","Medium","High"},0)-1,0))&gt;=4,0.8,IF((IFERROR(MATCH(Profiles!W58,{"None","Light","Medium","Heavy"},0)-1,0)+IFERROR(MATCH(Profiles!AB58,{"Low","Medium","High"},0)-1,0))&gt;=3,0.9,1))),IF((IFERROR(MATCH(Profiles!W58,{"None","Light","Medium","Heavy"},0)-1,0)+IFERROR(MATCH(Profiles!AB58,{"Low","Medium","High"},0)-1,0))&gt;=5,0.4,IF((IFERROR(MATCH(Profiles!W58,{"None","Light","Medium","Heavy"},0)-1,0)+IFERROR(MATCH(Profiles!AB58,{"Low","Medium","High"},0)-1,0))&gt;=4,0.6,IF((IFERROR(MATCH(Profiles!W58,{"None","Light","Medium","Heavy"},0)-1,0)+IFERROR(MATCH(Profiles!AB58,{"Low","Medium","High"},0)-1,0))&gt;=3,0.75,IF((IFERROR(MATCH(Profiles!W58,{"None","Light","Medium","Heavy"},0)-1,0)+IFERROR(MATCH(Profiles!AB58,{"Low","Medium","High"},0)-1,0))&gt;=2,0.85,1)))))))</f>
        <v/>
      </c>
      <c r="Z57" s="36">
        <f>IF(OR('User Input'!$B$43="none",'User Input'!$B$43=""),1,IF('User Input'!$B$43="minor",IF(IFERROR(MATCH(Profiles!W58,{"None","Light","Medium","Heavy"},0)-1,0)&gt;=3,0.7,IF(IFERROR(MATCH(Profiles!W58,{"None","Light","Medium","Heavy"},0)-1,0)&gt;=2,0.85,1)),IF('User Input'!$B$43="joint",IF(OR(IFERROR(MATCH(Profiles!W58,{"None","Light","Medium","Heavy"},0)-1,0)&gt;=3,IFERROR(MATCH(Profiles!AB58,{"Low","Medium","High"},0)-1,0)&gt;=2),0.5,IF(OR(IFERROR(MATCH(Profiles!W58,{"None","Light","Medium","Heavy"},0)-1,0)&gt;=2,IFERROR(MATCH(Profiles!AB58,{"Low","Medium","High"},0)-1,0)&gt;=1),0.75,1)),IF(OR(IFERROR(MATCH(Profiles!W58,{"None","Light","Medium","Heavy"},0)-1,0)&gt;=2,IFERROR(MATCH(Profiles!AB58,{"Low","Medium","High"},0)-1,0)&gt;=2),0.3,IF(OR(IFERROR(MATCH(Profiles!W58,{"None","Light","Medium","Heavy"},0)-1,0)&gt;=1,IFERROR(MATCH(Profiles!AB58,{"Low","Medium","High"},0)-1,0)&gt;=1),0.6,0.9)))))</f>
        <v/>
      </c>
    </row>
    <row r="58" ht="23.25" customHeight="1" s="37">
      <c r="A58" s="59">
        <f>Profiles!A59</f>
        <v/>
      </c>
      <c r="B58" s="59">
        <f>Profiles!B59</f>
        <v/>
      </c>
      <c r="C58" s="59">
        <f>Profiles!C59</f>
        <v/>
      </c>
      <c r="D58" s="59">
        <f>Profiles!D59</f>
        <v/>
      </c>
      <c r="E58" s="60">
        <f>IF(ISNUMBER(Profiles!E59),IF(ISNUMBER(Profiles!F59),MAX(0,1-(MAX(0,ABS('User Input'!$B$9-Profiles!E59)-Profiles!F59))/Profiles!F59/3),MAX(0,1-ABS('User Input'!$B$9-Profiles!E59)/(Profiles!E59*0.1)/3)),0.5)</f>
        <v/>
      </c>
      <c r="F58" s="60">
        <f>IF(ISNUMBER(Profiles!G59),IF(ISNUMBER(Profiles!H59),MAX(0,1-(MAX(0,ABS('User Input'!$B$10-Profiles!G59)-Profiles!H59))/Profiles!H59/3),MAX(0,1-ABS('User Input'!$B$10-Profiles!G59)/(Profiles!G59*0.15)/3)),0.5)</f>
        <v/>
      </c>
      <c r="G58" s="60">
        <f>IF(ISNUMBER(Profiles!J59),MAX(0,1-ABS('User Input'!$B$12-Profiles!J59)/5/3),0.5)</f>
        <v/>
      </c>
      <c r="H58" s="60">
        <f>IF(ISNUMBER(Profiles!K59),MAX(0,1-ABS('User Input'!$B$14-Profiles!K59)/0.03/3),"n/a")</f>
        <v/>
      </c>
      <c r="I58" s="61">
        <f>100*MAX(0,1-(MAX(0,Profiles!M59-'User Input'!$B$17)+0.5*MAX(0,'User Input'!$B$17-Profiles!M59)+MAX(0,Profiles!N59-'User Input'!$B$18)+0.5*MAX(0,'User Input'!$B$18-Profiles!N59)+MAX(0,Profiles!O59-'User Input'!$B$19)+0.5*MAX(0,'User Input'!$B$19-Profiles!O59)+MAX(0,Profiles!P59-'User Input'!$B$20)+0.5*MAX(0,'User Input'!$B$20-Profiles!P59)+MAX(0,Profiles!Q59-'User Input'!$B$21)+0.5*MAX(0,'User Input'!$B$21-Profiles!Q59)+MAX(0,Profiles!S59-'User Input'!$B$22)+0.5*MAX(0,'User Input'!$B$22-Profiles!S59)+MAX(0,Profiles!T59-'User Input'!$B$23)+0.5*MAX(0,'User Input'!$B$23-Profiles!T59)+MAX(0,Profiles!U59-'User Input'!$B$24)+0.5*MAX(0,'User Input'!$B$24-Profiles!U59))/40)</f>
        <v/>
      </c>
      <c r="J58" s="61">
        <f>ROUND(60*(E58+F58+G58+IFERROR(VALUE(H58),(E58+F58+G58)/3))/4 + 0.4*I58,1)</f>
        <v/>
      </c>
      <c r="K58" s="60">
        <f>IF(OR(AND('User Input'!$B$6="M",Profiles!$AG59="M"),AND('User Input'!$B$6="F",Profiles!$AG59="F")),1,0)</f>
        <v/>
      </c>
      <c r="L58" s="60">
        <f>IF('User Input'!$B$27="Either",(IF(Profiles!V59&gt;=4,1,0.3)+IF(OR(Profiles!V59&lt;=2,ISNUMBER(SEARCH("Individual",Profiles!D59))),1,0.3))/2,IF('User Input'!$B$27="Team",IF(Profiles!V59&gt;=4,1,0.3),IF(OR(Profiles!V59&lt;=2,ISNUMBER(SEARCH("Individual",Profiles!D59))),1,0.3)))</f>
        <v/>
      </c>
      <c r="M58" s="60">
        <f>IF(IFERROR(MATCH(Profiles!W59,{"None","Light","Medium","Heavy"},0)-1,0)&lt;=IFERROR(MATCH('User Input'!$B$28,{"None","Light","Medium","Heavy"},0)-1,3),1,MAX(0,1-0.4*(IFERROR(MATCH(Profiles!W59,{"None","Light","Medium","Heavy"},0)-1,0)-IFERROR(MATCH('User Input'!$B$28,{"None","Light","Medium","Heavy"},0)-1,3))))</f>
        <v/>
      </c>
      <c r="N58" s="60">
        <f>IF('User Input'!$B$29="neutral",1,IF('User Input'!$B$29="essential",IF(ISNUMBER(SEARCH("Outdoor",Profiles!X59)),1,0.3),IF('User Input'!$B$29="nice",IF(ISNUMBER(SEARCH("Outdoor",Profiles!X59)),1,0.65),IF('User Input'!$B$29="indoor",IF(ISNUMBER(SEARCH("Indoor",Profiles!X59)),1,0.4),1))))</f>
        <v/>
      </c>
      <c r="O58" s="60">
        <f>IF('User Input'!$B$30="Yes",1,IF(Profiles!Y59="Yes",0,1))</f>
        <v/>
      </c>
      <c r="P58" s="60">
        <f>IF(IFERROR(MATCH(Profiles!Z59,{"Low","Medium","High"},0),2)&lt;=IFERROR(MATCH('User Input'!$B$31,{"Low","Medium","High"},0),2),1,MAX(0,1-0.4*(IFERROR(MATCH(Profiles!Z59,{"Low","Medium","High"},0),2)-IFERROR(MATCH('User Input'!$B$31,{"Low","Medium","High"},0),2))))</f>
        <v/>
      </c>
      <c r="Q58" s="60">
        <f>IF('User Input'!$B$32="Yes",IF(ISNUMBER(Profiles!AC59),Profiles!AC59/10,0.5),1)</f>
        <v/>
      </c>
      <c r="R58" s="61">
        <f>IF(OR(K58=0,O58=0),0,ROUND(MIN(100,100*(K58*0.1+L58*0.2+M58*0.2+N58*0.1+P58*0.15+Q58*0.25)*W58*X58*Y58*Z58),1))</f>
        <v/>
      </c>
      <c r="S58" s="61">
        <f>IF(R58=0,0,ROUND(0.5*J58+0.5*R58,1))</f>
        <v/>
      </c>
      <c r="T58" s="36">
        <f>J58-ROW()/1000000</f>
        <v/>
      </c>
      <c r="U58" s="36">
        <f>R58-ROW()/1000000</f>
        <v/>
      </c>
      <c r="V58" s="36">
        <f>S58-ROW()/1000000</f>
        <v/>
      </c>
      <c r="W58" s="36">
        <f>IF(OR(AND(OR(Profiles!D59="Team field",Profiles!D59="Team field contact",Profiles!D59="Team field stick"),'User Input'!$B$34="Yes"),AND(OR(Profiles!D59="Team court",Profiles!D59="Team court contact"),'User Input'!$B$35="Yes"),AND(Profiles!D59="Individual racquet",'User Input'!$B$36="Yes"),AND(OR(Profiles!D59="Combat striking",Profiles!D59="Combat grappling",Profiles!D59="Combat mixed"),'User Input'!$B$37="Yes"),AND(OR(Profiles!D59="Team water contact",Profiles!D59="Individual water"),'User Input'!$B$38="Yes"),AND(OR(Profiles!D59="Endurance individual",Profiles!D59="Endurance individual / pair",Profiles!D59="Endurance individual / pursuit",Profiles!D59="Endurance team / pair",Profiles!D59="Endurance multi"),'User Input'!$B$39="Yes"),AND(OR(Profiles!D59="Strength individual",Profiles!D59="Power-throw individual"),'User Input'!$B$40="Yes"),AND(OR(Profiles!D59="Individual technical",Profiles!D59="Individual aesthetic",Profiles!D59="Team precision"),'User Input'!$B$41="Yes")),1.15,1)</f>
        <v/>
      </c>
      <c r="X58" s="36">
        <f>IF('User Input'!$B$33&lt;&gt;"none",1,IF(IFERROR(VALUE(TRIM(MID(SUBSTITUTE(SUBSTITUTE(Profiles!AA59,"–","-"),"-",REPT(" ",100)),100,100)))&lt;=14,FALSE),0.7,1))</f>
        <v/>
      </c>
      <c r="Y58" s="36">
        <f>IF(OR('User Input'!$B$42="under30",'User Input'!$B$42=""),1,IF('User Input'!$B$42="30to45",IF((IFERROR(MATCH(Profiles!W59,{"None","Light","Medium","Heavy"},0)-1,0)+IFERROR(MATCH(Profiles!AB59,{"Low","Medium","High"},0)-1,0))&gt;=5,0.85,1),IF('User Input'!$B$42="46to60",IF((IFERROR(MATCH(Profiles!W59,{"None","Light","Medium","Heavy"},0)-1,0)+IFERROR(MATCH(Profiles!AB59,{"Low","Medium","High"},0)-1,0))&gt;=5,0.65,IF((IFERROR(MATCH(Profiles!W59,{"None","Light","Medium","Heavy"},0)-1,0)+IFERROR(MATCH(Profiles!AB59,{"Low","Medium","High"},0)-1,0))&gt;=4,0.8,IF((IFERROR(MATCH(Profiles!W59,{"None","Light","Medium","Heavy"},0)-1,0)+IFERROR(MATCH(Profiles!AB59,{"Low","Medium","High"},0)-1,0))&gt;=3,0.9,1))),IF((IFERROR(MATCH(Profiles!W59,{"None","Light","Medium","Heavy"},0)-1,0)+IFERROR(MATCH(Profiles!AB59,{"Low","Medium","High"},0)-1,0))&gt;=5,0.4,IF((IFERROR(MATCH(Profiles!W59,{"None","Light","Medium","Heavy"},0)-1,0)+IFERROR(MATCH(Profiles!AB59,{"Low","Medium","High"},0)-1,0))&gt;=4,0.6,IF((IFERROR(MATCH(Profiles!W59,{"None","Light","Medium","Heavy"},0)-1,0)+IFERROR(MATCH(Profiles!AB59,{"Low","Medium","High"},0)-1,0))&gt;=3,0.75,IF((IFERROR(MATCH(Profiles!W59,{"None","Light","Medium","Heavy"},0)-1,0)+IFERROR(MATCH(Profiles!AB59,{"Low","Medium","High"},0)-1,0))&gt;=2,0.85,1)))))))</f>
        <v/>
      </c>
      <c r="Z58" s="36">
        <f>IF(OR('User Input'!$B$43="none",'User Input'!$B$43=""),1,IF('User Input'!$B$43="minor",IF(IFERROR(MATCH(Profiles!W59,{"None","Light","Medium","Heavy"},0)-1,0)&gt;=3,0.7,IF(IFERROR(MATCH(Profiles!W59,{"None","Light","Medium","Heavy"},0)-1,0)&gt;=2,0.85,1)),IF('User Input'!$B$43="joint",IF(OR(IFERROR(MATCH(Profiles!W59,{"None","Light","Medium","Heavy"},0)-1,0)&gt;=3,IFERROR(MATCH(Profiles!AB59,{"Low","Medium","High"},0)-1,0)&gt;=2),0.5,IF(OR(IFERROR(MATCH(Profiles!W59,{"None","Light","Medium","Heavy"},0)-1,0)&gt;=2,IFERROR(MATCH(Profiles!AB59,{"Low","Medium","High"},0)-1,0)&gt;=1),0.75,1)),IF(OR(IFERROR(MATCH(Profiles!W59,{"None","Light","Medium","Heavy"},0)-1,0)&gt;=2,IFERROR(MATCH(Profiles!AB59,{"Low","Medium","High"},0)-1,0)&gt;=2),0.3,IF(OR(IFERROR(MATCH(Profiles!W59,{"None","Light","Medium","Heavy"},0)-1,0)&gt;=1,IFERROR(MATCH(Profiles!AB59,{"Low","Medium","High"},0)-1,0)&gt;=1),0.6,0.9)))))</f>
        <v/>
      </c>
    </row>
    <row r="59" ht="23.25" customHeight="1" s="37">
      <c r="A59" s="59">
        <f>Profiles!A60</f>
        <v/>
      </c>
      <c r="B59" s="59">
        <f>Profiles!B60</f>
        <v/>
      </c>
      <c r="C59" s="59">
        <f>Profiles!C60</f>
        <v/>
      </c>
      <c r="D59" s="59">
        <f>Profiles!D60</f>
        <v/>
      </c>
      <c r="E59" s="60">
        <f>IF(ISNUMBER(Profiles!E60),IF(ISNUMBER(Profiles!F60),MAX(0,1-(MAX(0,ABS('User Input'!$B$9-Profiles!E60)-Profiles!F60))/Profiles!F60/3),MAX(0,1-ABS('User Input'!$B$9-Profiles!E60)/(Profiles!E60*0.1)/3)),0.5)</f>
        <v/>
      </c>
      <c r="F59" s="60">
        <f>IF(ISNUMBER(Profiles!G60),IF(ISNUMBER(Profiles!H60),MAX(0,1-(MAX(0,ABS('User Input'!$B$10-Profiles!G60)-Profiles!H60))/Profiles!H60/3),MAX(0,1-ABS('User Input'!$B$10-Profiles!G60)/(Profiles!G60*0.15)/3)),0.5)</f>
        <v/>
      </c>
      <c r="G59" s="60">
        <f>IF(ISNUMBER(Profiles!J60),MAX(0,1-ABS('User Input'!$B$12-Profiles!J60)/5/3),0.5)</f>
        <v/>
      </c>
      <c r="H59" s="60">
        <f>IF(ISNUMBER(Profiles!K60),MAX(0,1-ABS('User Input'!$B$14-Profiles!K60)/0.03/3),"n/a")</f>
        <v/>
      </c>
      <c r="I59" s="61">
        <f>100*MAX(0,1-(MAX(0,Profiles!M60-'User Input'!$B$17)+0.5*MAX(0,'User Input'!$B$17-Profiles!M60)+MAX(0,Profiles!N60-'User Input'!$B$18)+0.5*MAX(0,'User Input'!$B$18-Profiles!N60)+MAX(0,Profiles!O60-'User Input'!$B$19)+0.5*MAX(0,'User Input'!$B$19-Profiles!O60)+MAX(0,Profiles!P60-'User Input'!$B$20)+0.5*MAX(0,'User Input'!$B$20-Profiles!P60)+MAX(0,Profiles!Q60-'User Input'!$B$21)+0.5*MAX(0,'User Input'!$B$21-Profiles!Q60)+MAX(0,Profiles!S60-'User Input'!$B$22)+0.5*MAX(0,'User Input'!$B$22-Profiles!S60)+MAX(0,Profiles!T60-'User Input'!$B$23)+0.5*MAX(0,'User Input'!$B$23-Profiles!T60)+MAX(0,Profiles!U60-'User Input'!$B$24)+0.5*MAX(0,'User Input'!$B$24-Profiles!U60))/40)</f>
        <v/>
      </c>
      <c r="J59" s="61">
        <f>ROUND(60*(E59+F59+G59+IFERROR(VALUE(H59),(E59+F59+G59)/3))/4 + 0.4*I59,1)</f>
        <v/>
      </c>
      <c r="K59" s="60">
        <f>IF(OR(AND('User Input'!$B$6="M",Profiles!$AG60="M"),AND('User Input'!$B$6="F",Profiles!$AG60="F")),1,0)</f>
        <v/>
      </c>
      <c r="L59" s="60">
        <f>IF('User Input'!$B$27="Either",(IF(Profiles!V60&gt;=4,1,0.3)+IF(OR(Profiles!V60&lt;=2,ISNUMBER(SEARCH("Individual",Profiles!D60))),1,0.3))/2,IF('User Input'!$B$27="Team",IF(Profiles!V60&gt;=4,1,0.3),IF(OR(Profiles!V60&lt;=2,ISNUMBER(SEARCH("Individual",Profiles!D60))),1,0.3)))</f>
        <v/>
      </c>
      <c r="M59" s="60">
        <f>IF(IFERROR(MATCH(Profiles!W60,{"None","Light","Medium","Heavy"},0)-1,0)&lt;=IFERROR(MATCH('User Input'!$B$28,{"None","Light","Medium","Heavy"},0)-1,3),1,MAX(0,1-0.4*(IFERROR(MATCH(Profiles!W60,{"None","Light","Medium","Heavy"},0)-1,0)-IFERROR(MATCH('User Input'!$B$28,{"None","Light","Medium","Heavy"},0)-1,3))))</f>
        <v/>
      </c>
      <c r="N59" s="60">
        <f>IF('User Input'!$B$29="neutral",1,IF('User Input'!$B$29="essential",IF(ISNUMBER(SEARCH("Outdoor",Profiles!X60)),1,0.3),IF('User Input'!$B$29="nice",IF(ISNUMBER(SEARCH("Outdoor",Profiles!X60)),1,0.65),IF('User Input'!$B$29="indoor",IF(ISNUMBER(SEARCH("Indoor",Profiles!X60)),1,0.4),1))))</f>
        <v/>
      </c>
      <c r="O59" s="60">
        <f>IF('User Input'!$B$30="Yes",1,IF(Profiles!Y60="Yes",0,1))</f>
        <v/>
      </c>
      <c r="P59" s="60">
        <f>IF(IFERROR(MATCH(Profiles!Z60,{"Low","Medium","High"},0),2)&lt;=IFERROR(MATCH('User Input'!$B$31,{"Low","Medium","High"},0),2),1,MAX(0,1-0.4*(IFERROR(MATCH(Profiles!Z60,{"Low","Medium","High"},0),2)-IFERROR(MATCH('User Input'!$B$31,{"Low","Medium","High"},0),2))))</f>
        <v/>
      </c>
      <c r="Q59" s="60">
        <f>IF('User Input'!$B$32="Yes",IF(ISNUMBER(Profiles!AC60),Profiles!AC60/10,0.5),1)</f>
        <v/>
      </c>
      <c r="R59" s="61">
        <f>IF(OR(K59=0,O59=0),0,ROUND(MIN(100,100*(K59*0.1+L59*0.2+M59*0.2+N59*0.1+P59*0.15+Q59*0.25)*W59*X59*Y59*Z59),1))</f>
        <v/>
      </c>
      <c r="S59" s="61">
        <f>IF(R59=0,0,ROUND(0.5*J59+0.5*R59,1))</f>
        <v/>
      </c>
      <c r="T59" s="36">
        <f>J59-ROW()/1000000</f>
        <v/>
      </c>
      <c r="U59" s="36">
        <f>R59-ROW()/1000000</f>
        <v/>
      </c>
      <c r="V59" s="36">
        <f>S59-ROW()/1000000</f>
        <v/>
      </c>
      <c r="W59" s="36">
        <f>IF(OR(AND(OR(Profiles!D60="Team field",Profiles!D60="Team field contact",Profiles!D60="Team field stick"),'User Input'!$B$34="Yes"),AND(OR(Profiles!D60="Team court",Profiles!D60="Team court contact"),'User Input'!$B$35="Yes"),AND(Profiles!D60="Individual racquet",'User Input'!$B$36="Yes"),AND(OR(Profiles!D60="Combat striking",Profiles!D60="Combat grappling",Profiles!D60="Combat mixed"),'User Input'!$B$37="Yes"),AND(OR(Profiles!D60="Team water contact",Profiles!D60="Individual water"),'User Input'!$B$38="Yes"),AND(OR(Profiles!D60="Endurance individual",Profiles!D60="Endurance individual / pair",Profiles!D60="Endurance individual / pursuit",Profiles!D60="Endurance team / pair",Profiles!D60="Endurance multi"),'User Input'!$B$39="Yes"),AND(OR(Profiles!D60="Strength individual",Profiles!D60="Power-throw individual"),'User Input'!$B$40="Yes"),AND(OR(Profiles!D60="Individual technical",Profiles!D60="Individual aesthetic",Profiles!D60="Team precision"),'User Input'!$B$41="Yes")),1.15,1)</f>
        <v/>
      </c>
      <c r="X59" s="36">
        <f>IF('User Input'!$B$33&lt;&gt;"none",1,IF(IFERROR(VALUE(TRIM(MID(SUBSTITUTE(SUBSTITUTE(Profiles!AA60,"–","-"),"-",REPT(" ",100)),100,100)))&lt;=14,FALSE),0.7,1))</f>
        <v/>
      </c>
      <c r="Y59" s="36">
        <f>IF(OR('User Input'!$B$42="under30",'User Input'!$B$42=""),1,IF('User Input'!$B$42="30to45",IF((IFERROR(MATCH(Profiles!W60,{"None","Light","Medium","Heavy"},0)-1,0)+IFERROR(MATCH(Profiles!AB60,{"Low","Medium","High"},0)-1,0))&gt;=5,0.85,1),IF('User Input'!$B$42="46to60",IF((IFERROR(MATCH(Profiles!W60,{"None","Light","Medium","Heavy"},0)-1,0)+IFERROR(MATCH(Profiles!AB60,{"Low","Medium","High"},0)-1,0))&gt;=5,0.65,IF((IFERROR(MATCH(Profiles!W60,{"None","Light","Medium","Heavy"},0)-1,0)+IFERROR(MATCH(Profiles!AB60,{"Low","Medium","High"},0)-1,0))&gt;=4,0.8,IF((IFERROR(MATCH(Profiles!W60,{"None","Light","Medium","Heavy"},0)-1,0)+IFERROR(MATCH(Profiles!AB60,{"Low","Medium","High"},0)-1,0))&gt;=3,0.9,1))),IF((IFERROR(MATCH(Profiles!W60,{"None","Light","Medium","Heavy"},0)-1,0)+IFERROR(MATCH(Profiles!AB60,{"Low","Medium","High"},0)-1,0))&gt;=5,0.4,IF((IFERROR(MATCH(Profiles!W60,{"None","Light","Medium","Heavy"},0)-1,0)+IFERROR(MATCH(Profiles!AB60,{"Low","Medium","High"},0)-1,0))&gt;=4,0.6,IF((IFERROR(MATCH(Profiles!W60,{"None","Light","Medium","Heavy"},0)-1,0)+IFERROR(MATCH(Profiles!AB60,{"Low","Medium","High"},0)-1,0))&gt;=3,0.75,IF((IFERROR(MATCH(Profiles!W60,{"None","Light","Medium","Heavy"},0)-1,0)+IFERROR(MATCH(Profiles!AB60,{"Low","Medium","High"},0)-1,0))&gt;=2,0.85,1)))))))</f>
        <v/>
      </c>
      <c r="Z59" s="36">
        <f>IF(OR('User Input'!$B$43="none",'User Input'!$B$43=""),1,IF('User Input'!$B$43="minor",IF(IFERROR(MATCH(Profiles!W60,{"None","Light","Medium","Heavy"},0)-1,0)&gt;=3,0.7,IF(IFERROR(MATCH(Profiles!W60,{"None","Light","Medium","Heavy"},0)-1,0)&gt;=2,0.85,1)),IF('User Input'!$B$43="joint",IF(OR(IFERROR(MATCH(Profiles!W60,{"None","Light","Medium","Heavy"},0)-1,0)&gt;=3,IFERROR(MATCH(Profiles!AB60,{"Low","Medium","High"},0)-1,0)&gt;=2),0.5,IF(OR(IFERROR(MATCH(Profiles!W60,{"None","Light","Medium","Heavy"},0)-1,0)&gt;=2,IFERROR(MATCH(Profiles!AB60,{"Low","Medium","High"},0)-1,0)&gt;=1),0.75,1)),IF(OR(IFERROR(MATCH(Profiles!W60,{"None","Light","Medium","Heavy"},0)-1,0)&gt;=2,IFERROR(MATCH(Profiles!AB60,{"Low","Medium","High"},0)-1,0)&gt;=2),0.3,IF(OR(IFERROR(MATCH(Profiles!W60,{"None","Light","Medium","Heavy"},0)-1,0)&gt;=1,IFERROR(MATCH(Profiles!AB60,{"Low","Medium","High"},0)-1,0)&gt;=1),0.6,0.9)))))</f>
        <v/>
      </c>
    </row>
    <row r="60" ht="23.25" customHeight="1" s="37">
      <c r="A60" s="59">
        <f>Profiles!A61</f>
        <v/>
      </c>
      <c r="B60" s="59">
        <f>Profiles!B61</f>
        <v/>
      </c>
      <c r="C60" s="59">
        <f>Profiles!C61</f>
        <v/>
      </c>
      <c r="D60" s="59">
        <f>Profiles!D61</f>
        <v/>
      </c>
      <c r="E60" s="60">
        <f>IF(ISNUMBER(Profiles!E61),IF(ISNUMBER(Profiles!F61),MAX(0,1-(MAX(0,ABS('User Input'!$B$9-Profiles!E61)-Profiles!F61))/Profiles!F61/3),MAX(0,1-ABS('User Input'!$B$9-Profiles!E61)/(Profiles!E61*0.1)/3)),0.5)</f>
        <v/>
      </c>
      <c r="F60" s="60">
        <f>IF(ISNUMBER(Profiles!G61),IF(ISNUMBER(Profiles!H61),MAX(0,1-(MAX(0,ABS('User Input'!$B$10-Profiles!G61)-Profiles!H61))/Profiles!H61/3),MAX(0,1-ABS('User Input'!$B$10-Profiles!G61)/(Profiles!G61*0.15)/3)),0.5)</f>
        <v/>
      </c>
      <c r="G60" s="60">
        <f>IF(ISNUMBER(Profiles!J61),MAX(0,1-ABS('User Input'!$B$12-Profiles!J61)/5/3),0.5)</f>
        <v/>
      </c>
      <c r="H60" s="60">
        <f>IF(ISNUMBER(Profiles!K61),MAX(0,1-ABS('User Input'!$B$14-Profiles!K61)/0.03/3),"n/a")</f>
        <v/>
      </c>
      <c r="I60" s="61">
        <f>100*MAX(0,1-(MAX(0,Profiles!M61-'User Input'!$B$17)+0.5*MAX(0,'User Input'!$B$17-Profiles!M61)+MAX(0,Profiles!N61-'User Input'!$B$18)+0.5*MAX(0,'User Input'!$B$18-Profiles!N61)+MAX(0,Profiles!O61-'User Input'!$B$19)+0.5*MAX(0,'User Input'!$B$19-Profiles!O61)+MAX(0,Profiles!P61-'User Input'!$B$20)+0.5*MAX(0,'User Input'!$B$20-Profiles!P61)+MAX(0,Profiles!Q61-'User Input'!$B$21)+0.5*MAX(0,'User Input'!$B$21-Profiles!Q61)+MAX(0,Profiles!S61-'User Input'!$B$22)+0.5*MAX(0,'User Input'!$B$22-Profiles!S61)+MAX(0,Profiles!T61-'User Input'!$B$23)+0.5*MAX(0,'User Input'!$B$23-Profiles!T61)+MAX(0,Profiles!U61-'User Input'!$B$24)+0.5*MAX(0,'User Input'!$B$24-Profiles!U61))/40)</f>
        <v/>
      </c>
      <c r="J60" s="61">
        <f>ROUND(60*(E60+F60+G60+IFERROR(VALUE(H60),(E60+F60+G60)/3))/4 + 0.4*I60,1)</f>
        <v/>
      </c>
      <c r="K60" s="60">
        <f>IF(OR(AND('User Input'!$B$6="M",Profiles!$AG61="M"),AND('User Input'!$B$6="F",Profiles!$AG61="F")),1,0)</f>
        <v/>
      </c>
      <c r="L60" s="60">
        <f>IF('User Input'!$B$27="Either",(IF(Profiles!V61&gt;=4,1,0.3)+IF(OR(Profiles!V61&lt;=2,ISNUMBER(SEARCH("Individual",Profiles!D61))),1,0.3))/2,IF('User Input'!$B$27="Team",IF(Profiles!V61&gt;=4,1,0.3),IF(OR(Profiles!V61&lt;=2,ISNUMBER(SEARCH("Individual",Profiles!D61))),1,0.3)))</f>
        <v/>
      </c>
      <c r="M60" s="60">
        <f>IF(IFERROR(MATCH(Profiles!W61,{"None","Light","Medium","Heavy"},0)-1,0)&lt;=IFERROR(MATCH('User Input'!$B$28,{"None","Light","Medium","Heavy"},0)-1,3),1,MAX(0,1-0.4*(IFERROR(MATCH(Profiles!W61,{"None","Light","Medium","Heavy"},0)-1,0)-IFERROR(MATCH('User Input'!$B$28,{"None","Light","Medium","Heavy"},0)-1,3))))</f>
        <v/>
      </c>
      <c r="N60" s="60">
        <f>IF('User Input'!$B$29="neutral",1,IF('User Input'!$B$29="essential",IF(ISNUMBER(SEARCH("Outdoor",Profiles!X61)),1,0.3),IF('User Input'!$B$29="nice",IF(ISNUMBER(SEARCH("Outdoor",Profiles!X61)),1,0.65),IF('User Input'!$B$29="indoor",IF(ISNUMBER(SEARCH("Indoor",Profiles!X61)),1,0.4),1))))</f>
        <v/>
      </c>
      <c r="O60" s="60">
        <f>IF('User Input'!$B$30="Yes",1,IF(Profiles!Y61="Yes",0,1))</f>
        <v/>
      </c>
      <c r="P60" s="60">
        <f>IF(IFERROR(MATCH(Profiles!Z61,{"Low","Medium","High"},0),2)&lt;=IFERROR(MATCH('User Input'!$B$31,{"Low","Medium","High"},0),2),1,MAX(0,1-0.4*(IFERROR(MATCH(Profiles!Z61,{"Low","Medium","High"},0),2)-IFERROR(MATCH('User Input'!$B$31,{"Low","Medium","High"},0),2))))</f>
        <v/>
      </c>
      <c r="Q60" s="60">
        <f>IF('User Input'!$B$32="Yes",IF(ISNUMBER(Profiles!AC61),Profiles!AC61/10,0.5),1)</f>
        <v/>
      </c>
      <c r="R60" s="61">
        <f>IF(OR(K60=0,O60=0),0,ROUND(MIN(100,100*(K60*0.1+L60*0.2+M60*0.2+N60*0.1+P60*0.15+Q60*0.25)*W60*X60*Y60*Z60),1))</f>
        <v/>
      </c>
      <c r="S60" s="61">
        <f>IF(R60=0,0,ROUND(0.5*J60+0.5*R60,1))</f>
        <v/>
      </c>
      <c r="T60" s="36">
        <f>J60-ROW()/1000000</f>
        <v/>
      </c>
      <c r="U60" s="36">
        <f>R60-ROW()/1000000</f>
        <v/>
      </c>
      <c r="V60" s="36">
        <f>S60-ROW()/1000000</f>
        <v/>
      </c>
      <c r="W60" s="36">
        <f>IF(OR(AND(OR(Profiles!D61="Team field",Profiles!D61="Team field contact",Profiles!D61="Team field stick"),'User Input'!$B$34="Yes"),AND(OR(Profiles!D61="Team court",Profiles!D61="Team court contact"),'User Input'!$B$35="Yes"),AND(Profiles!D61="Individual racquet",'User Input'!$B$36="Yes"),AND(OR(Profiles!D61="Combat striking",Profiles!D61="Combat grappling",Profiles!D61="Combat mixed"),'User Input'!$B$37="Yes"),AND(OR(Profiles!D61="Team water contact",Profiles!D61="Individual water"),'User Input'!$B$38="Yes"),AND(OR(Profiles!D61="Endurance individual",Profiles!D61="Endurance individual / pair",Profiles!D61="Endurance individual / pursuit",Profiles!D61="Endurance team / pair",Profiles!D61="Endurance multi"),'User Input'!$B$39="Yes"),AND(OR(Profiles!D61="Strength individual",Profiles!D61="Power-throw individual"),'User Input'!$B$40="Yes"),AND(OR(Profiles!D61="Individual technical",Profiles!D61="Individual aesthetic",Profiles!D61="Team precision"),'User Input'!$B$41="Yes")),1.15,1)</f>
        <v/>
      </c>
      <c r="X60" s="36">
        <f>IF('User Input'!$B$33&lt;&gt;"none",1,IF(IFERROR(VALUE(TRIM(MID(SUBSTITUTE(SUBSTITUTE(Profiles!AA61,"–","-"),"-",REPT(" ",100)),100,100)))&lt;=14,FALSE),0.7,1))</f>
        <v/>
      </c>
      <c r="Y60" s="36">
        <f>IF(OR('User Input'!$B$42="under30",'User Input'!$B$42=""),1,IF('User Input'!$B$42="30to45",IF((IFERROR(MATCH(Profiles!W61,{"None","Light","Medium","Heavy"},0)-1,0)+IFERROR(MATCH(Profiles!AB61,{"Low","Medium","High"},0)-1,0))&gt;=5,0.85,1),IF('User Input'!$B$42="46to60",IF((IFERROR(MATCH(Profiles!W61,{"None","Light","Medium","Heavy"},0)-1,0)+IFERROR(MATCH(Profiles!AB61,{"Low","Medium","High"},0)-1,0))&gt;=5,0.65,IF((IFERROR(MATCH(Profiles!W61,{"None","Light","Medium","Heavy"},0)-1,0)+IFERROR(MATCH(Profiles!AB61,{"Low","Medium","High"},0)-1,0))&gt;=4,0.8,IF((IFERROR(MATCH(Profiles!W61,{"None","Light","Medium","Heavy"},0)-1,0)+IFERROR(MATCH(Profiles!AB61,{"Low","Medium","High"},0)-1,0))&gt;=3,0.9,1))),IF((IFERROR(MATCH(Profiles!W61,{"None","Light","Medium","Heavy"},0)-1,0)+IFERROR(MATCH(Profiles!AB61,{"Low","Medium","High"},0)-1,0))&gt;=5,0.4,IF((IFERROR(MATCH(Profiles!W61,{"None","Light","Medium","Heavy"},0)-1,0)+IFERROR(MATCH(Profiles!AB61,{"Low","Medium","High"},0)-1,0))&gt;=4,0.6,IF((IFERROR(MATCH(Profiles!W61,{"None","Light","Medium","Heavy"},0)-1,0)+IFERROR(MATCH(Profiles!AB61,{"Low","Medium","High"},0)-1,0))&gt;=3,0.75,IF((IFERROR(MATCH(Profiles!W61,{"None","Light","Medium","Heavy"},0)-1,0)+IFERROR(MATCH(Profiles!AB61,{"Low","Medium","High"},0)-1,0))&gt;=2,0.85,1)))))))</f>
        <v/>
      </c>
      <c r="Z60" s="36">
        <f>IF(OR('User Input'!$B$43="none",'User Input'!$B$43=""),1,IF('User Input'!$B$43="minor",IF(IFERROR(MATCH(Profiles!W61,{"None","Light","Medium","Heavy"},0)-1,0)&gt;=3,0.7,IF(IFERROR(MATCH(Profiles!W61,{"None","Light","Medium","Heavy"},0)-1,0)&gt;=2,0.85,1)),IF('User Input'!$B$43="joint",IF(OR(IFERROR(MATCH(Profiles!W61,{"None","Light","Medium","Heavy"},0)-1,0)&gt;=3,IFERROR(MATCH(Profiles!AB61,{"Low","Medium","High"},0)-1,0)&gt;=2),0.5,IF(OR(IFERROR(MATCH(Profiles!W61,{"None","Light","Medium","Heavy"},0)-1,0)&gt;=2,IFERROR(MATCH(Profiles!AB61,{"Low","Medium","High"},0)-1,0)&gt;=1),0.75,1)),IF(OR(IFERROR(MATCH(Profiles!W61,{"None","Light","Medium","Heavy"},0)-1,0)&gt;=2,IFERROR(MATCH(Profiles!AB61,{"Low","Medium","High"},0)-1,0)&gt;=2),0.3,IF(OR(IFERROR(MATCH(Profiles!W61,{"None","Light","Medium","Heavy"},0)-1,0)&gt;=1,IFERROR(MATCH(Profiles!AB61,{"Low","Medium","High"},0)-1,0)&gt;=1),0.6,0.9)))))</f>
        <v/>
      </c>
    </row>
    <row r="61" ht="23.25" customHeight="1" s="37">
      <c r="A61" s="59">
        <f>Profiles!A62</f>
        <v/>
      </c>
      <c r="B61" s="59">
        <f>Profiles!B62</f>
        <v/>
      </c>
      <c r="C61" s="59">
        <f>Profiles!C62</f>
        <v/>
      </c>
      <c r="D61" s="59">
        <f>Profiles!D62</f>
        <v/>
      </c>
      <c r="E61" s="60">
        <f>IF(ISNUMBER(Profiles!E62),IF(ISNUMBER(Profiles!F62),MAX(0,1-(MAX(0,ABS('User Input'!$B$9-Profiles!E62)-Profiles!F62))/Profiles!F62/3),MAX(0,1-ABS('User Input'!$B$9-Profiles!E62)/(Profiles!E62*0.1)/3)),0.5)</f>
        <v/>
      </c>
      <c r="F61" s="60">
        <f>IF(ISNUMBER(Profiles!G62),IF(ISNUMBER(Profiles!H62),MAX(0,1-(MAX(0,ABS('User Input'!$B$10-Profiles!G62)-Profiles!H62))/Profiles!H62/3),MAX(0,1-ABS('User Input'!$B$10-Profiles!G62)/(Profiles!G62*0.15)/3)),0.5)</f>
        <v/>
      </c>
      <c r="G61" s="60">
        <f>IF(ISNUMBER(Profiles!J62),MAX(0,1-ABS('User Input'!$B$12-Profiles!J62)/5/3),0.5)</f>
        <v/>
      </c>
      <c r="H61" s="60">
        <f>IF(ISNUMBER(Profiles!K62),MAX(0,1-ABS('User Input'!$B$14-Profiles!K62)/0.03/3),"n/a")</f>
        <v/>
      </c>
      <c r="I61" s="61">
        <f>100*MAX(0,1-(MAX(0,Profiles!M62-'User Input'!$B$17)+0.5*MAX(0,'User Input'!$B$17-Profiles!M62)+MAX(0,Profiles!N62-'User Input'!$B$18)+0.5*MAX(0,'User Input'!$B$18-Profiles!N62)+MAX(0,Profiles!O62-'User Input'!$B$19)+0.5*MAX(0,'User Input'!$B$19-Profiles!O62)+MAX(0,Profiles!P62-'User Input'!$B$20)+0.5*MAX(0,'User Input'!$B$20-Profiles!P62)+MAX(0,Profiles!Q62-'User Input'!$B$21)+0.5*MAX(0,'User Input'!$B$21-Profiles!Q62)+MAX(0,Profiles!S62-'User Input'!$B$22)+0.5*MAX(0,'User Input'!$B$22-Profiles!S62)+MAX(0,Profiles!T62-'User Input'!$B$23)+0.5*MAX(0,'User Input'!$B$23-Profiles!T62)+MAX(0,Profiles!U62-'User Input'!$B$24)+0.5*MAX(0,'User Input'!$B$24-Profiles!U62))/40)</f>
        <v/>
      </c>
      <c r="J61" s="61">
        <f>ROUND(60*(E61+F61+G61+IFERROR(VALUE(H61),(E61+F61+G61)/3))/4 + 0.4*I61,1)</f>
        <v/>
      </c>
      <c r="K61" s="60">
        <f>IF(OR(AND('User Input'!$B$6="M",Profiles!$AG62="M"),AND('User Input'!$B$6="F",Profiles!$AG62="F")),1,0)</f>
        <v/>
      </c>
      <c r="L61" s="60">
        <f>IF('User Input'!$B$27="Either",(IF(Profiles!V62&gt;=4,1,0.3)+IF(OR(Profiles!V62&lt;=2,ISNUMBER(SEARCH("Individual",Profiles!D62))),1,0.3))/2,IF('User Input'!$B$27="Team",IF(Profiles!V62&gt;=4,1,0.3),IF(OR(Profiles!V62&lt;=2,ISNUMBER(SEARCH("Individual",Profiles!D62))),1,0.3)))</f>
        <v/>
      </c>
      <c r="M61" s="60">
        <f>IF(IFERROR(MATCH(Profiles!W62,{"None","Light","Medium","Heavy"},0)-1,0)&lt;=IFERROR(MATCH('User Input'!$B$28,{"None","Light","Medium","Heavy"},0)-1,3),1,MAX(0,1-0.4*(IFERROR(MATCH(Profiles!W62,{"None","Light","Medium","Heavy"},0)-1,0)-IFERROR(MATCH('User Input'!$B$28,{"None","Light","Medium","Heavy"},0)-1,3))))</f>
        <v/>
      </c>
      <c r="N61" s="60">
        <f>IF('User Input'!$B$29="neutral",1,IF('User Input'!$B$29="essential",IF(ISNUMBER(SEARCH("Outdoor",Profiles!X62)),1,0.3),IF('User Input'!$B$29="nice",IF(ISNUMBER(SEARCH("Outdoor",Profiles!X62)),1,0.65),IF('User Input'!$B$29="indoor",IF(ISNUMBER(SEARCH("Indoor",Profiles!X62)),1,0.4),1))))</f>
        <v/>
      </c>
      <c r="O61" s="60">
        <f>IF('User Input'!$B$30="Yes",1,IF(Profiles!Y62="Yes",0,1))</f>
        <v/>
      </c>
      <c r="P61" s="60">
        <f>IF(IFERROR(MATCH(Profiles!Z62,{"Low","Medium","High"},0),2)&lt;=IFERROR(MATCH('User Input'!$B$31,{"Low","Medium","High"},0),2),1,MAX(0,1-0.4*(IFERROR(MATCH(Profiles!Z62,{"Low","Medium","High"},0),2)-IFERROR(MATCH('User Input'!$B$31,{"Low","Medium","High"},0),2))))</f>
        <v/>
      </c>
      <c r="Q61" s="60">
        <f>IF('User Input'!$B$32="Yes",IF(ISNUMBER(Profiles!AC62),Profiles!AC62/10,0.5),1)</f>
        <v/>
      </c>
      <c r="R61" s="61">
        <f>IF(OR(K61=0,O61=0),0,ROUND(MIN(100,100*(K61*0.1+L61*0.2+M61*0.2+N61*0.1+P61*0.15+Q61*0.25)*W61*X61*Y61*Z61),1))</f>
        <v/>
      </c>
      <c r="S61" s="61">
        <f>IF(R61=0,0,ROUND(0.5*J61+0.5*R61,1))</f>
        <v/>
      </c>
      <c r="T61" s="36">
        <f>J61-ROW()/1000000</f>
        <v/>
      </c>
      <c r="U61" s="36">
        <f>R61-ROW()/1000000</f>
        <v/>
      </c>
      <c r="V61" s="36">
        <f>S61-ROW()/1000000</f>
        <v/>
      </c>
      <c r="W61" s="36">
        <f>IF(OR(AND(OR(Profiles!D62="Team field",Profiles!D62="Team field contact",Profiles!D62="Team field stick"),'User Input'!$B$34="Yes"),AND(OR(Profiles!D62="Team court",Profiles!D62="Team court contact"),'User Input'!$B$35="Yes"),AND(Profiles!D62="Individual racquet",'User Input'!$B$36="Yes"),AND(OR(Profiles!D62="Combat striking",Profiles!D62="Combat grappling",Profiles!D62="Combat mixed"),'User Input'!$B$37="Yes"),AND(OR(Profiles!D62="Team water contact",Profiles!D62="Individual water"),'User Input'!$B$38="Yes"),AND(OR(Profiles!D62="Endurance individual",Profiles!D62="Endurance individual / pair",Profiles!D62="Endurance individual / pursuit",Profiles!D62="Endurance team / pair",Profiles!D62="Endurance multi"),'User Input'!$B$39="Yes"),AND(OR(Profiles!D62="Strength individual",Profiles!D62="Power-throw individual"),'User Input'!$B$40="Yes"),AND(OR(Profiles!D62="Individual technical",Profiles!D62="Individual aesthetic",Profiles!D62="Team precision"),'User Input'!$B$41="Yes")),1.15,1)</f>
        <v/>
      </c>
      <c r="X61" s="36">
        <f>IF('User Input'!$B$33&lt;&gt;"none",1,IF(IFERROR(VALUE(TRIM(MID(SUBSTITUTE(SUBSTITUTE(Profiles!AA62,"–","-"),"-",REPT(" ",100)),100,100)))&lt;=14,FALSE),0.7,1))</f>
        <v/>
      </c>
      <c r="Y61" s="36">
        <f>IF(OR('User Input'!$B$42="under30",'User Input'!$B$42=""),1,IF('User Input'!$B$42="30to45",IF((IFERROR(MATCH(Profiles!W62,{"None","Light","Medium","Heavy"},0)-1,0)+IFERROR(MATCH(Profiles!AB62,{"Low","Medium","High"},0)-1,0))&gt;=5,0.85,1),IF('User Input'!$B$42="46to60",IF((IFERROR(MATCH(Profiles!W62,{"None","Light","Medium","Heavy"},0)-1,0)+IFERROR(MATCH(Profiles!AB62,{"Low","Medium","High"},0)-1,0))&gt;=5,0.65,IF((IFERROR(MATCH(Profiles!W62,{"None","Light","Medium","Heavy"},0)-1,0)+IFERROR(MATCH(Profiles!AB62,{"Low","Medium","High"},0)-1,0))&gt;=4,0.8,IF((IFERROR(MATCH(Profiles!W62,{"None","Light","Medium","Heavy"},0)-1,0)+IFERROR(MATCH(Profiles!AB62,{"Low","Medium","High"},0)-1,0))&gt;=3,0.9,1))),IF((IFERROR(MATCH(Profiles!W62,{"None","Light","Medium","Heavy"},0)-1,0)+IFERROR(MATCH(Profiles!AB62,{"Low","Medium","High"},0)-1,0))&gt;=5,0.4,IF((IFERROR(MATCH(Profiles!W62,{"None","Light","Medium","Heavy"},0)-1,0)+IFERROR(MATCH(Profiles!AB62,{"Low","Medium","High"},0)-1,0))&gt;=4,0.6,IF((IFERROR(MATCH(Profiles!W62,{"None","Light","Medium","Heavy"},0)-1,0)+IFERROR(MATCH(Profiles!AB62,{"Low","Medium","High"},0)-1,0))&gt;=3,0.75,IF((IFERROR(MATCH(Profiles!W62,{"None","Light","Medium","Heavy"},0)-1,0)+IFERROR(MATCH(Profiles!AB62,{"Low","Medium","High"},0)-1,0))&gt;=2,0.85,1)))))))</f>
        <v/>
      </c>
      <c r="Z61" s="36">
        <f>IF(OR('User Input'!$B$43="none",'User Input'!$B$43=""),1,IF('User Input'!$B$43="minor",IF(IFERROR(MATCH(Profiles!W62,{"None","Light","Medium","Heavy"},0)-1,0)&gt;=3,0.7,IF(IFERROR(MATCH(Profiles!W62,{"None","Light","Medium","Heavy"},0)-1,0)&gt;=2,0.85,1)),IF('User Input'!$B$43="joint",IF(OR(IFERROR(MATCH(Profiles!W62,{"None","Light","Medium","Heavy"},0)-1,0)&gt;=3,IFERROR(MATCH(Profiles!AB62,{"Low","Medium","High"},0)-1,0)&gt;=2),0.5,IF(OR(IFERROR(MATCH(Profiles!W62,{"None","Light","Medium","Heavy"},0)-1,0)&gt;=2,IFERROR(MATCH(Profiles!AB62,{"Low","Medium","High"},0)-1,0)&gt;=1),0.75,1)),IF(OR(IFERROR(MATCH(Profiles!W62,{"None","Light","Medium","Heavy"},0)-1,0)&gt;=2,IFERROR(MATCH(Profiles!AB62,{"Low","Medium","High"},0)-1,0)&gt;=2),0.3,IF(OR(IFERROR(MATCH(Profiles!W62,{"None","Light","Medium","Heavy"},0)-1,0)&gt;=1,IFERROR(MATCH(Profiles!AB62,{"Low","Medium","High"},0)-1,0)&gt;=1),0.6,0.9)))))</f>
        <v/>
      </c>
    </row>
    <row r="62" ht="23.25" customHeight="1" s="37">
      <c r="A62" s="59">
        <f>Profiles!A63</f>
        <v/>
      </c>
      <c r="B62" s="59">
        <f>Profiles!B63</f>
        <v/>
      </c>
      <c r="C62" s="59">
        <f>Profiles!C63</f>
        <v/>
      </c>
      <c r="D62" s="59">
        <f>Profiles!D63</f>
        <v/>
      </c>
      <c r="E62" s="60">
        <f>IF(ISNUMBER(Profiles!E63),IF(ISNUMBER(Profiles!F63),MAX(0,1-(MAX(0,ABS('User Input'!$B$9-Profiles!E63)-Profiles!F63))/Profiles!F63/3),MAX(0,1-ABS('User Input'!$B$9-Profiles!E63)/(Profiles!E63*0.1)/3)),0.5)</f>
        <v/>
      </c>
      <c r="F62" s="60">
        <f>IF(ISNUMBER(Profiles!G63),IF(ISNUMBER(Profiles!H63),MAX(0,1-(MAX(0,ABS('User Input'!$B$10-Profiles!G63)-Profiles!H63))/Profiles!H63/3),MAX(0,1-ABS('User Input'!$B$10-Profiles!G63)/(Profiles!G63*0.15)/3)),0.5)</f>
        <v/>
      </c>
      <c r="G62" s="60">
        <f>IF(ISNUMBER(Profiles!J63),MAX(0,1-ABS('User Input'!$B$12-Profiles!J63)/5/3),0.5)</f>
        <v/>
      </c>
      <c r="H62" s="60">
        <f>IF(ISNUMBER(Profiles!K63),MAX(0,1-ABS('User Input'!$B$14-Profiles!K63)/0.03/3),"n/a")</f>
        <v/>
      </c>
      <c r="I62" s="61">
        <f>100*MAX(0,1-(MAX(0,Profiles!M63-'User Input'!$B$17)+0.5*MAX(0,'User Input'!$B$17-Profiles!M63)+MAX(0,Profiles!N63-'User Input'!$B$18)+0.5*MAX(0,'User Input'!$B$18-Profiles!N63)+MAX(0,Profiles!O63-'User Input'!$B$19)+0.5*MAX(0,'User Input'!$B$19-Profiles!O63)+MAX(0,Profiles!P63-'User Input'!$B$20)+0.5*MAX(0,'User Input'!$B$20-Profiles!P63)+MAX(0,Profiles!Q63-'User Input'!$B$21)+0.5*MAX(0,'User Input'!$B$21-Profiles!Q63)+MAX(0,Profiles!S63-'User Input'!$B$22)+0.5*MAX(0,'User Input'!$B$22-Profiles!S63)+MAX(0,Profiles!T63-'User Input'!$B$23)+0.5*MAX(0,'User Input'!$B$23-Profiles!T63)+MAX(0,Profiles!U63-'User Input'!$B$24)+0.5*MAX(0,'User Input'!$B$24-Profiles!U63))/40)</f>
        <v/>
      </c>
      <c r="J62" s="61">
        <f>ROUND(60*(E62+F62+G62+IFERROR(VALUE(H62),(E62+F62+G62)/3))/4 + 0.4*I62,1)</f>
        <v/>
      </c>
      <c r="K62" s="60">
        <f>IF(OR(AND('User Input'!$B$6="M",Profiles!$AG63="M"),AND('User Input'!$B$6="F",Profiles!$AG63="F")),1,0)</f>
        <v/>
      </c>
      <c r="L62" s="60">
        <f>IF('User Input'!$B$27="Either",(IF(Profiles!V63&gt;=4,1,0.3)+IF(OR(Profiles!V63&lt;=2,ISNUMBER(SEARCH("Individual",Profiles!D63))),1,0.3))/2,IF('User Input'!$B$27="Team",IF(Profiles!V63&gt;=4,1,0.3),IF(OR(Profiles!V63&lt;=2,ISNUMBER(SEARCH("Individual",Profiles!D63))),1,0.3)))</f>
        <v/>
      </c>
      <c r="M62" s="60">
        <f>IF(IFERROR(MATCH(Profiles!W63,{"None","Light","Medium","Heavy"},0)-1,0)&lt;=IFERROR(MATCH('User Input'!$B$28,{"None","Light","Medium","Heavy"},0)-1,3),1,MAX(0,1-0.4*(IFERROR(MATCH(Profiles!W63,{"None","Light","Medium","Heavy"},0)-1,0)-IFERROR(MATCH('User Input'!$B$28,{"None","Light","Medium","Heavy"},0)-1,3))))</f>
        <v/>
      </c>
      <c r="N62" s="60">
        <f>IF('User Input'!$B$29="neutral",1,IF('User Input'!$B$29="essential",IF(ISNUMBER(SEARCH("Outdoor",Profiles!X63)),1,0.3),IF('User Input'!$B$29="nice",IF(ISNUMBER(SEARCH("Outdoor",Profiles!X63)),1,0.65),IF('User Input'!$B$29="indoor",IF(ISNUMBER(SEARCH("Indoor",Profiles!X63)),1,0.4),1))))</f>
        <v/>
      </c>
      <c r="O62" s="60">
        <f>IF('User Input'!$B$30="Yes",1,IF(Profiles!Y63="Yes",0,1))</f>
        <v/>
      </c>
      <c r="P62" s="60">
        <f>IF(IFERROR(MATCH(Profiles!Z63,{"Low","Medium","High"},0),2)&lt;=IFERROR(MATCH('User Input'!$B$31,{"Low","Medium","High"},0),2),1,MAX(0,1-0.4*(IFERROR(MATCH(Profiles!Z63,{"Low","Medium","High"},0),2)-IFERROR(MATCH('User Input'!$B$31,{"Low","Medium","High"},0),2))))</f>
        <v/>
      </c>
      <c r="Q62" s="60">
        <f>IF('User Input'!$B$32="Yes",IF(ISNUMBER(Profiles!AC63),Profiles!AC63/10,0.5),1)</f>
        <v/>
      </c>
      <c r="R62" s="61">
        <f>IF(OR(K62=0,O62=0),0,ROUND(MIN(100,100*(K62*0.1+L62*0.2+M62*0.2+N62*0.1+P62*0.15+Q62*0.25)*W62*X62*Y62*Z62),1))</f>
        <v/>
      </c>
      <c r="S62" s="61">
        <f>IF(R62=0,0,ROUND(0.5*J62+0.5*R62,1))</f>
        <v/>
      </c>
      <c r="T62" s="36">
        <f>J62-ROW()/1000000</f>
        <v/>
      </c>
      <c r="U62" s="36">
        <f>R62-ROW()/1000000</f>
        <v/>
      </c>
      <c r="V62" s="36">
        <f>S62-ROW()/1000000</f>
        <v/>
      </c>
      <c r="W62" s="36">
        <f>IF(OR(AND(OR(Profiles!D63="Team field",Profiles!D63="Team field contact",Profiles!D63="Team field stick"),'User Input'!$B$34="Yes"),AND(OR(Profiles!D63="Team court",Profiles!D63="Team court contact"),'User Input'!$B$35="Yes"),AND(Profiles!D63="Individual racquet",'User Input'!$B$36="Yes"),AND(OR(Profiles!D63="Combat striking",Profiles!D63="Combat grappling",Profiles!D63="Combat mixed"),'User Input'!$B$37="Yes"),AND(OR(Profiles!D63="Team water contact",Profiles!D63="Individual water"),'User Input'!$B$38="Yes"),AND(OR(Profiles!D63="Endurance individual",Profiles!D63="Endurance individual / pair",Profiles!D63="Endurance individual / pursuit",Profiles!D63="Endurance team / pair",Profiles!D63="Endurance multi"),'User Input'!$B$39="Yes"),AND(OR(Profiles!D63="Strength individual",Profiles!D63="Power-throw individual"),'User Input'!$B$40="Yes"),AND(OR(Profiles!D63="Individual technical",Profiles!D63="Individual aesthetic",Profiles!D63="Team precision"),'User Input'!$B$41="Yes")),1.15,1)</f>
        <v/>
      </c>
      <c r="X62" s="36">
        <f>IF('User Input'!$B$33&lt;&gt;"none",1,IF(IFERROR(VALUE(TRIM(MID(SUBSTITUTE(SUBSTITUTE(Profiles!AA63,"–","-"),"-",REPT(" ",100)),100,100)))&lt;=14,FALSE),0.7,1))</f>
        <v/>
      </c>
      <c r="Y62" s="36">
        <f>IF(OR('User Input'!$B$42="under30",'User Input'!$B$42=""),1,IF('User Input'!$B$42="30to45",IF((IFERROR(MATCH(Profiles!W63,{"None","Light","Medium","Heavy"},0)-1,0)+IFERROR(MATCH(Profiles!AB63,{"Low","Medium","High"},0)-1,0))&gt;=5,0.85,1),IF('User Input'!$B$42="46to60",IF((IFERROR(MATCH(Profiles!W63,{"None","Light","Medium","Heavy"},0)-1,0)+IFERROR(MATCH(Profiles!AB63,{"Low","Medium","High"},0)-1,0))&gt;=5,0.65,IF((IFERROR(MATCH(Profiles!W63,{"None","Light","Medium","Heavy"},0)-1,0)+IFERROR(MATCH(Profiles!AB63,{"Low","Medium","High"},0)-1,0))&gt;=4,0.8,IF((IFERROR(MATCH(Profiles!W63,{"None","Light","Medium","Heavy"},0)-1,0)+IFERROR(MATCH(Profiles!AB63,{"Low","Medium","High"},0)-1,0))&gt;=3,0.9,1))),IF((IFERROR(MATCH(Profiles!W63,{"None","Light","Medium","Heavy"},0)-1,0)+IFERROR(MATCH(Profiles!AB63,{"Low","Medium","High"},0)-1,0))&gt;=5,0.4,IF((IFERROR(MATCH(Profiles!W63,{"None","Light","Medium","Heavy"},0)-1,0)+IFERROR(MATCH(Profiles!AB63,{"Low","Medium","High"},0)-1,0))&gt;=4,0.6,IF((IFERROR(MATCH(Profiles!W63,{"None","Light","Medium","Heavy"},0)-1,0)+IFERROR(MATCH(Profiles!AB63,{"Low","Medium","High"},0)-1,0))&gt;=3,0.75,IF((IFERROR(MATCH(Profiles!W63,{"None","Light","Medium","Heavy"},0)-1,0)+IFERROR(MATCH(Profiles!AB63,{"Low","Medium","High"},0)-1,0))&gt;=2,0.85,1)))))))</f>
        <v/>
      </c>
      <c r="Z62" s="36">
        <f>IF(OR('User Input'!$B$43="none",'User Input'!$B$43=""),1,IF('User Input'!$B$43="minor",IF(IFERROR(MATCH(Profiles!W63,{"None","Light","Medium","Heavy"},0)-1,0)&gt;=3,0.7,IF(IFERROR(MATCH(Profiles!W63,{"None","Light","Medium","Heavy"},0)-1,0)&gt;=2,0.85,1)),IF('User Input'!$B$43="joint",IF(OR(IFERROR(MATCH(Profiles!W63,{"None","Light","Medium","Heavy"},0)-1,0)&gt;=3,IFERROR(MATCH(Profiles!AB63,{"Low","Medium","High"},0)-1,0)&gt;=2),0.5,IF(OR(IFERROR(MATCH(Profiles!W63,{"None","Light","Medium","Heavy"},0)-1,0)&gt;=2,IFERROR(MATCH(Profiles!AB63,{"Low","Medium","High"},0)-1,0)&gt;=1),0.75,1)),IF(OR(IFERROR(MATCH(Profiles!W63,{"None","Light","Medium","Heavy"},0)-1,0)&gt;=2,IFERROR(MATCH(Profiles!AB63,{"Low","Medium","High"},0)-1,0)&gt;=2),0.3,IF(OR(IFERROR(MATCH(Profiles!W63,{"None","Light","Medium","Heavy"},0)-1,0)&gt;=1,IFERROR(MATCH(Profiles!AB63,{"Low","Medium","High"},0)-1,0)&gt;=1),0.6,0.9)))))</f>
        <v/>
      </c>
    </row>
    <row r="63" ht="15" customHeight="1" s="37">
      <c r="A63" s="59">
        <f>Profiles!A64</f>
        <v/>
      </c>
      <c r="B63" s="59">
        <f>Profiles!B64</f>
        <v/>
      </c>
      <c r="C63" s="59">
        <f>Profiles!C64</f>
        <v/>
      </c>
      <c r="D63" s="59">
        <f>Profiles!D64</f>
        <v/>
      </c>
      <c r="E63" s="60">
        <f>IF(ISNUMBER(Profiles!E64),IF(ISNUMBER(Profiles!F64),MAX(0,1-(MAX(0,ABS('User Input'!$B$9-Profiles!E64)-Profiles!F64))/Profiles!F64/3),MAX(0,1-ABS('User Input'!$B$9-Profiles!E64)/(Profiles!E64*0.1)/3)),0.5)</f>
        <v/>
      </c>
      <c r="F63" s="60">
        <f>IF(ISNUMBER(Profiles!G64),IF(ISNUMBER(Profiles!H64),MAX(0,1-(MAX(0,ABS('User Input'!$B$10-Profiles!G64)-Profiles!H64))/Profiles!H64/3),MAX(0,1-ABS('User Input'!$B$10-Profiles!G64)/(Profiles!G64*0.15)/3)),0.5)</f>
        <v/>
      </c>
      <c r="G63" s="60">
        <f>IF(ISNUMBER(Profiles!J64),MAX(0,1-ABS('User Input'!$B$12-Profiles!J64)/5/3),0.5)</f>
        <v/>
      </c>
      <c r="H63" s="60">
        <f>IF(ISNUMBER(Profiles!K64),MAX(0,1-ABS('User Input'!$B$14-Profiles!K64)/0.03/3),"n/a")</f>
        <v/>
      </c>
      <c r="I63" s="61">
        <f>100*MAX(0,1-(MAX(0,Profiles!M64-'User Input'!$B$17)+0.5*MAX(0,'User Input'!$B$17-Profiles!M64)+MAX(0,Profiles!N64-'User Input'!$B$18)+0.5*MAX(0,'User Input'!$B$18-Profiles!N64)+MAX(0,Profiles!O64-'User Input'!$B$19)+0.5*MAX(0,'User Input'!$B$19-Profiles!O64)+MAX(0,Profiles!P64-'User Input'!$B$20)+0.5*MAX(0,'User Input'!$B$20-Profiles!P64)+MAX(0,Profiles!Q64-'User Input'!$B$21)+0.5*MAX(0,'User Input'!$B$21-Profiles!Q64)+MAX(0,Profiles!S64-'User Input'!$B$22)+0.5*MAX(0,'User Input'!$B$22-Profiles!S64)+MAX(0,Profiles!T64-'User Input'!$B$23)+0.5*MAX(0,'User Input'!$B$23-Profiles!T64)+MAX(0,Profiles!U64-'User Input'!$B$24)+0.5*MAX(0,'User Input'!$B$24-Profiles!U64))/40)</f>
        <v/>
      </c>
      <c r="J63" s="61">
        <f>ROUND(60*(E63+F63+G63+IFERROR(VALUE(H63),(E63+F63+G63)/3))/4 + 0.4*I63,1)</f>
        <v/>
      </c>
      <c r="K63" s="60">
        <f>IF(OR(AND('User Input'!$B$6="M",Profiles!$AG64="M"),AND('User Input'!$B$6="F",Profiles!$AG64="F")),1,0)</f>
        <v/>
      </c>
      <c r="L63" s="60">
        <f>IF('User Input'!$B$27="Either",(IF(Profiles!V64&gt;=4,1,0.3)+IF(OR(Profiles!V64&lt;=2,ISNUMBER(SEARCH("Individual",Profiles!D64))),1,0.3))/2,IF('User Input'!$B$27="Team",IF(Profiles!V64&gt;=4,1,0.3),IF(OR(Profiles!V64&lt;=2,ISNUMBER(SEARCH("Individual",Profiles!D64))),1,0.3)))</f>
        <v/>
      </c>
      <c r="M63" s="60">
        <f>IF(IFERROR(MATCH(Profiles!W64,{"None","Light","Medium","Heavy"},0)-1,0)&lt;=IFERROR(MATCH('User Input'!$B$28,{"None","Light","Medium","Heavy"},0)-1,3),1,MAX(0,1-0.4*(IFERROR(MATCH(Profiles!W64,{"None","Light","Medium","Heavy"},0)-1,0)-IFERROR(MATCH('User Input'!$B$28,{"None","Light","Medium","Heavy"},0)-1,3))))</f>
        <v/>
      </c>
      <c r="N63" s="60">
        <f>IF('User Input'!$B$29="neutral",1,IF('User Input'!$B$29="essential",IF(ISNUMBER(SEARCH("Outdoor",Profiles!X64)),1,0.3),IF('User Input'!$B$29="nice",IF(ISNUMBER(SEARCH("Outdoor",Profiles!X64)),1,0.65),IF('User Input'!$B$29="indoor",IF(ISNUMBER(SEARCH("Indoor",Profiles!X64)),1,0.4),1))))</f>
        <v/>
      </c>
      <c r="O63" s="60">
        <f>IF('User Input'!$B$30="Yes",1,IF(Profiles!Y64="Yes",0,1))</f>
        <v/>
      </c>
      <c r="P63" s="60">
        <f>IF(IFERROR(MATCH(Profiles!Z64,{"Low","Medium","High"},0),2)&lt;=IFERROR(MATCH('User Input'!$B$31,{"Low","Medium","High"},0),2),1,MAX(0,1-0.4*(IFERROR(MATCH(Profiles!Z64,{"Low","Medium","High"},0),2)-IFERROR(MATCH('User Input'!$B$31,{"Low","Medium","High"},0),2))))</f>
        <v/>
      </c>
      <c r="Q63" s="60">
        <f>IF('User Input'!$B$32="Yes",IF(ISNUMBER(Profiles!AC64),Profiles!AC64/10,0.5),1)</f>
        <v/>
      </c>
      <c r="R63" s="61">
        <f>IF(OR(K63=0,O63=0),0,ROUND(MIN(100,100*(K63*0.1+L63*0.2+M63*0.2+N63*0.1+P63*0.15+Q63*0.25)*W63*X63*Y63*Z63),1))</f>
        <v/>
      </c>
      <c r="S63" s="61">
        <f>IF(R63=0,0,ROUND(0.5*J63+0.5*R63,1))</f>
        <v/>
      </c>
      <c r="T63" s="36">
        <f>J63-ROW()/1000000</f>
        <v/>
      </c>
      <c r="U63" s="36">
        <f>R63-ROW()/1000000</f>
        <v/>
      </c>
      <c r="V63" s="36">
        <f>S63-ROW()/1000000</f>
        <v/>
      </c>
      <c r="W63" s="36">
        <f>IF(OR(AND(OR(Profiles!D64="Team field",Profiles!D64="Team field contact",Profiles!D64="Team field stick"),'User Input'!$B$34="Yes"),AND(OR(Profiles!D64="Team court",Profiles!D64="Team court contact"),'User Input'!$B$35="Yes"),AND(Profiles!D64="Individual racquet",'User Input'!$B$36="Yes"),AND(OR(Profiles!D64="Combat striking",Profiles!D64="Combat grappling",Profiles!D64="Combat mixed"),'User Input'!$B$37="Yes"),AND(OR(Profiles!D64="Team water contact",Profiles!D64="Individual water"),'User Input'!$B$38="Yes"),AND(OR(Profiles!D64="Endurance individual",Profiles!D64="Endurance individual / pair",Profiles!D64="Endurance individual / pursuit",Profiles!D64="Endurance team / pair",Profiles!D64="Endurance multi"),'User Input'!$B$39="Yes"),AND(OR(Profiles!D64="Strength individual",Profiles!D64="Power-throw individual"),'User Input'!$B$40="Yes"),AND(OR(Profiles!D64="Individual technical",Profiles!D64="Individual aesthetic",Profiles!D64="Team precision"),'User Input'!$B$41="Yes")),1.15,1)</f>
        <v/>
      </c>
      <c r="X63" s="36">
        <f>IF('User Input'!$B$33&lt;&gt;"none",1,IF(IFERROR(VALUE(TRIM(MID(SUBSTITUTE(SUBSTITUTE(Profiles!AA64,"–","-"),"-",REPT(" ",100)),100,100)))&lt;=14,FALSE),0.7,1))</f>
        <v/>
      </c>
      <c r="Y63" s="36">
        <f>IF(OR('User Input'!$B$42="under30",'User Input'!$B$42=""),1,IF('User Input'!$B$42="30to45",IF((IFERROR(MATCH(Profiles!W64,{"None","Light","Medium","Heavy"},0)-1,0)+IFERROR(MATCH(Profiles!AB64,{"Low","Medium","High"},0)-1,0))&gt;=5,0.85,1),IF('User Input'!$B$42="46to60",IF((IFERROR(MATCH(Profiles!W64,{"None","Light","Medium","Heavy"},0)-1,0)+IFERROR(MATCH(Profiles!AB64,{"Low","Medium","High"},0)-1,0))&gt;=5,0.65,IF((IFERROR(MATCH(Profiles!W64,{"None","Light","Medium","Heavy"},0)-1,0)+IFERROR(MATCH(Profiles!AB64,{"Low","Medium","High"},0)-1,0))&gt;=4,0.8,IF((IFERROR(MATCH(Profiles!W64,{"None","Light","Medium","Heavy"},0)-1,0)+IFERROR(MATCH(Profiles!AB64,{"Low","Medium","High"},0)-1,0))&gt;=3,0.9,1))),IF((IFERROR(MATCH(Profiles!W64,{"None","Light","Medium","Heavy"},0)-1,0)+IFERROR(MATCH(Profiles!AB64,{"Low","Medium","High"},0)-1,0))&gt;=5,0.4,IF((IFERROR(MATCH(Profiles!W64,{"None","Light","Medium","Heavy"},0)-1,0)+IFERROR(MATCH(Profiles!AB64,{"Low","Medium","High"},0)-1,0))&gt;=4,0.6,IF((IFERROR(MATCH(Profiles!W64,{"None","Light","Medium","Heavy"},0)-1,0)+IFERROR(MATCH(Profiles!AB64,{"Low","Medium","High"},0)-1,0))&gt;=3,0.75,IF((IFERROR(MATCH(Profiles!W64,{"None","Light","Medium","Heavy"},0)-1,0)+IFERROR(MATCH(Profiles!AB64,{"Low","Medium","High"},0)-1,0))&gt;=2,0.85,1)))))))</f>
        <v/>
      </c>
      <c r="Z63" s="36">
        <f>IF(OR('User Input'!$B$43="none",'User Input'!$B$43=""),1,IF('User Input'!$B$43="minor",IF(IFERROR(MATCH(Profiles!W64,{"None","Light","Medium","Heavy"},0)-1,0)&gt;=3,0.7,IF(IFERROR(MATCH(Profiles!W64,{"None","Light","Medium","Heavy"},0)-1,0)&gt;=2,0.85,1)),IF('User Input'!$B$43="joint",IF(OR(IFERROR(MATCH(Profiles!W64,{"None","Light","Medium","Heavy"},0)-1,0)&gt;=3,IFERROR(MATCH(Profiles!AB64,{"Low","Medium","High"},0)-1,0)&gt;=2),0.5,IF(OR(IFERROR(MATCH(Profiles!W64,{"None","Light","Medium","Heavy"},0)-1,0)&gt;=2,IFERROR(MATCH(Profiles!AB64,{"Low","Medium","High"},0)-1,0)&gt;=1),0.75,1)),IF(OR(IFERROR(MATCH(Profiles!W64,{"None","Light","Medium","Heavy"},0)-1,0)&gt;=2,IFERROR(MATCH(Profiles!AB64,{"Low","Medium","High"},0)-1,0)&gt;=2),0.3,IF(OR(IFERROR(MATCH(Profiles!W64,{"None","Light","Medium","Heavy"},0)-1,0)&gt;=1,IFERROR(MATCH(Profiles!AB64,{"Low","Medium","High"},0)-1,0)&gt;=1),0.6,0.9)))))</f>
        <v/>
      </c>
    </row>
    <row r="64" ht="23.25" customHeight="1" s="37">
      <c r="A64" s="59">
        <f>Profiles!A65</f>
        <v/>
      </c>
      <c r="B64" s="59">
        <f>Profiles!B65</f>
        <v/>
      </c>
      <c r="C64" s="59">
        <f>Profiles!C65</f>
        <v/>
      </c>
      <c r="D64" s="59">
        <f>Profiles!D65</f>
        <v/>
      </c>
      <c r="E64" s="60">
        <f>IF(ISNUMBER(Profiles!E65),IF(ISNUMBER(Profiles!F65),MAX(0,1-(MAX(0,ABS('User Input'!$B$9-Profiles!E65)-Profiles!F65))/Profiles!F65/3),MAX(0,1-ABS('User Input'!$B$9-Profiles!E65)/(Profiles!E65*0.1)/3)),0.5)</f>
        <v/>
      </c>
      <c r="F64" s="60">
        <f>IF(ISNUMBER(Profiles!G65),IF(ISNUMBER(Profiles!H65),MAX(0,1-(MAX(0,ABS('User Input'!$B$10-Profiles!G65)-Profiles!H65))/Profiles!H65/3),MAX(0,1-ABS('User Input'!$B$10-Profiles!G65)/(Profiles!G65*0.15)/3)),0.5)</f>
        <v/>
      </c>
      <c r="G64" s="60">
        <f>IF(ISNUMBER(Profiles!J65),MAX(0,1-ABS('User Input'!$B$12-Profiles!J65)/5/3),0.5)</f>
        <v/>
      </c>
      <c r="H64" s="60">
        <f>IF(ISNUMBER(Profiles!K65),MAX(0,1-ABS('User Input'!$B$14-Profiles!K65)/0.03/3),"n/a")</f>
        <v/>
      </c>
      <c r="I64" s="61">
        <f>100*MAX(0,1-(MAX(0,Profiles!M65-'User Input'!$B$17)+0.5*MAX(0,'User Input'!$B$17-Profiles!M65)+MAX(0,Profiles!N65-'User Input'!$B$18)+0.5*MAX(0,'User Input'!$B$18-Profiles!N65)+MAX(0,Profiles!O65-'User Input'!$B$19)+0.5*MAX(0,'User Input'!$B$19-Profiles!O65)+MAX(0,Profiles!P65-'User Input'!$B$20)+0.5*MAX(0,'User Input'!$B$20-Profiles!P65)+MAX(0,Profiles!Q65-'User Input'!$B$21)+0.5*MAX(0,'User Input'!$B$21-Profiles!Q65)+MAX(0,Profiles!S65-'User Input'!$B$22)+0.5*MAX(0,'User Input'!$B$22-Profiles!S65)+MAX(0,Profiles!T65-'User Input'!$B$23)+0.5*MAX(0,'User Input'!$B$23-Profiles!T65)+MAX(0,Profiles!U65-'User Input'!$B$24)+0.5*MAX(0,'User Input'!$B$24-Profiles!U65))/40)</f>
        <v/>
      </c>
      <c r="J64" s="61">
        <f>ROUND(60*(E64+F64+G64+IFERROR(VALUE(H64),(E64+F64+G64)/3))/4 + 0.4*I64,1)</f>
        <v/>
      </c>
      <c r="K64" s="60">
        <f>IF(OR(AND('User Input'!$B$6="M",Profiles!$AG65="M"),AND('User Input'!$B$6="F",Profiles!$AG65="F")),1,0)</f>
        <v/>
      </c>
      <c r="L64" s="60">
        <f>IF('User Input'!$B$27="Either",(IF(Profiles!V65&gt;=4,1,0.3)+IF(OR(Profiles!V65&lt;=2,ISNUMBER(SEARCH("Individual",Profiles!D65))),1,0.3))/2,IF('User Input'!$B$27="Team",IF(Profiles!V65&gt;=4,1,0.3),IF(OR(Profiles!V65&lt;=2,ISNUMBER(SEARCH("Individual",Profiles!D65))),1,0.3)))</f>
        <v/>
      </c>
      <c r="M64" s="60">
        <f>IF(IFERROR(MATCH(Profiles!W65,{"None","Light","Medium","Heavy"},0)-1,0)&lt;=IFERROR(MATCH('User Input'!$B$28,{"None","Light","Medium","Heavy"},0)-1,3),1,MAX(0,1-0.4*(IFERROR(MATCH(Profiles!W65,{"None","Light","Medium","Heavy"},0)-1,0)-IFERROR(MATCH('User Input'!$B$28,{"None","Light","Medium","Heavy"},0)-1,3))))</f>
        <v/>
      </c>
      <c r="N64" s="60">
        <f>IF('User Input'!$B$29="neutral",1,IF('User Input'!$B$29="essential",IF(ISNUMBER(SEARCH("Outdoor",Profiles!X65)),1,0.3),IF('User Input'!$B$29="nice",IF(ISNUMBER(SEARCH("Outdoor",Profiles!X65)),1,0.65),IF('User Input'!$B$29="indoor",IF(ISNUMBER(SEARCH("Indoor",Profiles!X65)),1,0.4),1))))</f>
        <v/>
      </c>
      <c r="O64" s="60">
        <f>IF('User Input'!$B$30="Yes",1,IF(Profiles!Y65="Yes",0,1))</f>
        <v/>
      </c>
      <c r="P64" s="60">
        <f>IF(IFERROR(MATCH(Profiles!Z65,{"Low","Medium","High"},0),2)&lt;=IFERROR(MATCH('User Input'!$B$31,{"Low","Medium","High"},0),2),1,MAX(0,1-0.4*(IFERROR(MATCH(Profiles!Z65,{"Low","Medium","High"},0),2)-IFERROR(MATCH('User Input'!$B$31,{"Low","Medium","High"},0),2))))</f>
        <v/>
      </c>
      <c r="Q64" s="60">
        <f>IF('User Input'!$B$32="Yes",IF(ISNUMBER(Profiles!AC65),Profiles!AC65/10,0.5),1)</f>
        <v/>
      </c>
      <c r="R64" s="61">
        <f>IF(OR(K64=0,O64=0),0,ROUND(MIN(100,100*(K64*0.1+L64*0.2+M64*0.2+N64*0.1+P64*0.15+Q64*0.25)*W64*X64*Y64*Z64),1))</f>
        <v/>
      </c>
      <c r="S64" s="61">
        <f>IF(R64=0,0,ROUND(0.5*J64+0.5*R64,1))</f>
        <v/>
      </c>
      <c r="T64" s="36">
        <f>J64-ROW()/1000000</f>
        <v/>
      </c>
      <c r="U64" s="36">
        <f>R64-ROW()/1000000</f>
        <v/>
      </c>
      <c r="V64" s="36">
        <f>S64-ROW()/1000000</f>
        <v/>
      </c>
      <c r="W64" s="36">
        <f>IF(OR(AND(OR(Profiles!D65="Team field",Profiles!D65="Team field contact",Profiles!D65="Team field stick"),'User Input'!$B$34="Yes"),AND(OR(Profiles!D65="Team court",Profiles!D65="Team court contact"),'User Input'!$B$35="Yes"),AND(Profiles!D65="Individual racquet",'User Input'!$B$36="Yes"),AND(OR(Profiles!D65="Combat striking",Profiles!D65="Combat grappling",Profiles!D65="Combat mixed"),'User Input'!$B$37="Yes"),AND(OR(Profiles!D65="Team water contact",Profiles!D65="Individual water"),'User Input'!$B$38="Yes"),AND(OR(Profiles!D65="Endurance individual",Profiles!D65="Endurance individual / pair",Profiles!D65="Endurance individual / pursuit",Profiles!D65="Endurance team / pair",Profiles!D65="Endurance multi"),'User Input'!$B$39="Yes"),AND(OR(Profiles!D65="Strength individual",Profiles!D65="Power-throw individual"),'User Input'!$B$40="Yes"),AND(OR(Profiles!D65="Individual technical",Profiles!D65="Individual aesthetic",Profiles!D65="Team precision"),'User Input'!$B$41="Yes")),1.15,1)</f>
        <v/>
      </c>
      <c r="X64" s="36">
        <f>IF('User Input'!$B$33&lt;&gt;"none",1,IF(IFERROR(VALUE(TRIM(MID(SUBSTITUTE(SUBSTITUTE(Profiles!AA65,"–","-"),"-",REPT(" ",100)),100,100)))&lt;=14,FALSE),0.7,1))</f>
        <v/>
      </c>
      <c r="Y64" s="36">
        <f>IF(OR('User Input'!$B$42="under30",'User Input'!$B$42=""),1,IF('User Input'!$B$42="30to45",IF((IFERROR(MATCH(Profiles!W65,{"None","Light","Medium","Heavy"},0)-1,0)+IFERROR(MATCH(Profiles!AB65,{"Low","Medium","High"},0)-1,0))&gt;=5,0.85,1),IF('User Input'!$B$42="46to60",IF((IFERROR(MATCH(Profiles!W65,{"None","Light","Medium","Heavy"},0)-1,0)+IFERROR(MATCH(Profiles!AB65,{"Low","Medium","High"},0)-1,0))&gt;=5,0.65,IF((IFERROR(MATCH(Profiles!W65,{"None","Light","Medium","Heavy"},0)-1,0)+IFERROR(MATCH(Profiles!AB65,{"Low","Medium","High"},0)-1,0))&gt;=4,0.8,IF((IFERROR(MATCH(Profiles!W65,{"None","Light","Medium","Heavy"},0)-1,0)+IFERROR(MATCH(Profiles!AB65,{"Low","Medium","High"},0)-1,0))&gt;=3,0.9,1))),IF((IFERROR(MATCH(Profiles!W65,{"None","Light","Medium","Heavy"},0)-1,0)+IFERROR(MATCH(Profiles!AB65,{"Low","Medium","High"},0)-1,0))&gt;=5,0.4,IF((IFERROR(MATCH(Profiles!W65,{"None","Light","Medium","Heavy"},0)-1,0)+IFERROR(MATCH(Profiles!AB65,{"Low","Medium","High"},0)-1,0))&gt;=4,0.6,IF((IFERROR(MATCH(Profiles!W65,{"None","Light","Medium","Heavy"},0)-1,0)+IFERROR(MATCH(Profiles!AB65,{"Low","Medium","High"},0)-1,0))&gt;=3,0.75,IF((IFERROR(MATCH(Profiles!W65,{"None","Light","Medium","Heavy"},0)-1,0)+IFERROR(MATCH(Profiles!AB65,{"Low","Medium","High"},0)-1,0))&gt;=2,0.85,1)))))))</f>
        <v/>
      </c>
      <c r="Z64" s="36">
        <f>IF(OR('User Input'!$B$43="none",'User Input'!$B$43=""),1,IF('User Input'!$B$43="minor",IF(IFERROR(MATCH(Profiles!W65,{"None","Light","Medium","Heavy"},0)-1,0)&gt;=3,0.7,IF(IFERROR(MATCH(Profiles!W65,{"None","Light","Medium","Heavy"},0)-1,0)&gt;=2,0.85,1)),IF('User Input'!$B$43="joint",IF(OR(IFERROR(MATCH(Profiles!W65,{"None","Light","Medium","Heavy"},0)-1,0)&gt;=3,IFERROR(MATCH(Profiles!AB65,{"Low","Medium","High"},0)-1,0)&gt;=2),0.5,IF(OR(IFERROR(MATCH(Profiles!W65,{"None","Light","Medium","Heavy"},0)-1,0)&gt;=2,IFERROR(MATCH(Profiles!AB65,{"Low","Medium","High"},0)-1,0)&gt;=1),0.75,1)),IF(OR(IFERROR(MATCH(Profiles!W65,{"None","Light","Medium","Heavy"},0)-1,0)&gt;=2,IFERROR(MATCH(Profiles!AB65,{"Low","Medium","High"},0)-1,0)&gt;=2),0.3,IF(OR(IFERROR(MATCH(Profiles!W65,{"None","Light","Medium","Heavy"},0)-1,0)&gt;=1,IFERROR(MATCH(Profiles!AB65,{"Low","Medium","High"},0)-1,0)&gt;=1),0.6,0.9)))))</f>
        <v/>
      </c>
    </row>
    <row r="65" ht="15" customHeight="1" s="37">
      <c r="A65" s="59">
        <f>Profiles!A66</f>
        <v/>
      </c>
      <c r="B65" s="59">
        <f>Profiles!B66</f>
        <v/>
      </c>
      <c r="C65" s="59">
        <f>Profiles!C66</f>
        <v/>
      </c>
      <c r="D65" s="59">
        <f>Profiles!D66</f>
        <v/>
      </c>
      <c r="E65" s="60">
        <f>IF(ISNUMBER(Profiles!E66),IF(ISNUMBER(Profiles!F66),MAX(0,1-(MAX(0,ABS('User Input'!$B$9-Profiles!E66)-Profiles!F66))/Profiles!F66/3),MAX(0,1-ABS('User Input'!$B$9-Profiles!E66)/(Profiles!E66*0.1)/3)),0.5)</f>
        <v/>
      </c>
      <c r="F65" s="60">
        <f>IF(ISNUMBER(Profiles!G66),IF(ISNUMBER(Profiles!H66),MAX(0,1-(MAX(0,ABS('User Input'!$B$10-Profiles!G66)-Profiles!H66))/Profiles!H66/3),MAX(0,1-ABS('User Input'!$B$10-Profiles!G66)/(Profiles!G66*0.15)/3)),0.5)</f>
        <v/>
      </c>
      <c r="G65" s="60">
        <f>IF(ISNUMBER(Profiles!J66),MAX(0,1-ABS('User Input'!$B$12-Profiles!J66)/5/3),0.5)</f>
        <v/>
      </c>
      <c r="H65" s="60">
        <f>IF(ISNUMBER(Profiles!K66),MAX(0,1-ABS('User Input'!$B$14-Profiles!K66)/0.03/3),"n/a")</f>
        <v/>
      </c>
      <c r="I65" s="61">
        <f>100*MAX(0,1-(MAX(0,Profiles!M66-'User Input'!$B$17)+0.5*MAX(0,'User Input'!$B$17-Profiles!M66)+MAX(0,Profiles!N66-'User Input'!$B$18)+0.5*MAX(0,'User Input'!$B$18-Profiles!N66)+MAX(0,Profiles!O66-'User Input'!$B$19)+0.5*MAX(0,'User Input'!$B$19-Profiles!O66)+MAX(0,Profiles!P66-'User Input'!$B$20)+0.5*MAX(0,'User Input'!$B$20-Profiles!P66)+MAX(0,Profiles!Q66-'User Input'!$B$21)+0.5*MAX(0,'User Input'!$B$21-Profiles!Q66)+MAX(0,Profiles!S66-'User Input'!$B$22)+0.5*MAX(0,'User Input'!$B$22-Profiles!S66)+MAX(0,Profiles!T66-'User Input'!$B$23)+0.5*MAX(0,'User Input'!$B$23-Profiles!T66)+MAX(0,Profiles!U66-'User Input'!$B$24)+0.5*MAX(0,'User Input'!$B$24-Profiles!U66))/40)</f>
        <v/>
      </c>
      <c r="J65" s="61">
        <f>ROUND(60*(E65+F65+G65+IFERROR(VALUE(H65),(E65+F65+G65)/3))/4 + 0.4*I65,1)</f>
        <v/>
      </c>
      <c r="K65" s="60">
        <f>IF(OR(AND('User Input'!$B$6="M",Profiles!$AG66="M"),AND('User Input'!$B$6="F",Profiles!$AG66="F")),1,0)</f>
        <v/>
      </c>
      <c r="L65" s="60">
        <f>IF('User Input'!$B$27="Either",(IF(Profiles!V66&gt;=4,1,0.3)+IF(OR(Profiles!V66&lt;=2,ISNUMBER(SEARCH("Individual",Profiles!D66))),1,0.3))/2,IF('User Input'!$B$27="Team",IF(Profiles!V66&gt;=4,1,0.3),IF(OR(Profiles!V66&lt;=2,ISNUMBER(SEARCH("Individual",Profiles!D66))),1,0.3)))</f>
        <v/>
      </c>
      <c r="M65" s="60">
        <f>IF(IFERROR(MATCH(Profiles!W66,{"None","Light","Medium","Heavy"},0)-1,0)&lt;=IFERROR(MATCH('User Input'!$B$28,{"None","Light","Medium","Heavy"},0)-1,3),1,MAX(0,1-0.4*(IFERROR(MATCH(Profiles!W66,{"None","Light","Medium","Heavy"},0)-1,0)-IFERROR(MATCH('User Input'!$B$28,{"None","Light","Medium","Heavy"},0)-1,3))))</f>
        <v/>
      </c>
      <c r="N65" s="60">
        <f>IF('User Input'!$B$29="neutral",1,IF('User Input'!$B$29="essential",IF(ISNUMBER(SEARCH("Outdoor",Profiles!X66)),1,0.3),IF('User Input'!$B$29="nice",IF(ISNUMBER(SEARCH("Outdoor",Profiles!X66)),1,0.65),IF('User Input'!$B$29="indoor",IF(ISNUMBER(SEARCH("Indoor",Profiles!X66)),1,0.4),1))))</f>
        <v/>
      </c>
      <c r="O65" s="60">
        <f>IF('User Input'!$B$30="Yes",1,IF(Profiles!Y66="Yes",0,1))</f>
        <v/>
      </c>
      <c r="P65" s="60">
        <f>IF(IFERROR(MATCH(Profiles!Z66,{"Low","Medium","High"},0),2)&lt;=IFERROR(MATCH('User Input'!$B$31,{"Low","Medium","High"},0),2),1,MAX(0,1-0.4*(IFERROR(MATCH(Profiles!Z66,{"Low","Medium","High"},0),2)-IFERROR(MATCH('User Input'!$B$31,{"Low","Medium","High"},0),2))))</f>
        <v/>
      </c>
      <c r="Q65" s="60">
        <f>IF('User Input'!$B$32="Yes",IF(ISNUMBER(Profiles!AC66),Profiles!AC66/10,0.5),1)</f>
        <v/>
      </c>
      <c r="R65" s="61">
        <f>IF(OR(K65=0,O65=0),0,ROUND(MIN(100,100*(K65*0.1+L65*0.2+M65*0.2+N65*0.1+P65*0.15+Q65*0.25)*W65*X65*Y65*Z65),1))</f>
        <v/>
      </c>
      <c r="S65" s="61">
        <f>IF(R65=0,0,ROUND(0.5*J65+0.5*R65,1))</f>
        <v/>
      </c>
      <c r="T65" s="36">
        <f>J65-ROW()/1000000</f>
        <v/>
      </c>
      <c r="U65" s="36">
        <f>R65-ROW()/1000000</f>
        <v/>
      </c>
      <c r="V65" s="36">
        <f>S65-ROW()/1000000</f>
        <v/>
      </c>
      <c r="W65" s="36">
        <f>IF(OR(AND(OR(Profiles!D66="Team field",Profiles!D66="Team field contact",Profiles!D66="Team field stick"),'User Input'!$B$34="Yes"),AND(OR(Profiles!D66="Team court",Profiles!D66="Team court contact"),'User Input'!$B$35="Yes"),AND(Profiles!D66="Individual racquet",'User Input'!$B$36="Yes"),AND(OR(Profiles!D66="Combat striking",Profiles!D66="Combat grappling",Profiles!D66="Combat mixed"),'User Input'!$B$37="Yes"),AND(OR(Profiles!D66="Team water contact",Profiles!D66="Individual water"),'User Input'!$B$38="Yes"),AND(OR(Profiles!D66="Endurance individual",Profiles!D66="Endurance individual / pair",Profiles!D66="Endurance individual / pursuit",Profiles!D66="Endurance team / pair",Profiles!D66="Endurance multi"),'User Input'!$B$39="Yes"),AND(OR(Profiles!D66="Strength individual",Profiles!D66="Power-throw individual"),'User Input'!$B$40="Yes"),AND(OR(Profiles!D66="Individual technical",Profiles!D66="Individual aesthetic",Profiles!D66="Team precision"),'User Input'!$B$41="Yes")),1.15,1)</f>
        <v/>
      </c>
      <c r="X65" s="36">
        <f>IF('User Input'!$B$33&lt;&gt;"none",1,IF(IFERROR(VALUE(TRIM(MID(SUBSTITUTE(SUBSTITUTE(Profiles!AA66,"–","-"),"-",REPT(" ",100)),100,100)))&lt;=14,FALSE),0.7,1))</f>
        <v/>
      </c>
      <c r="Y65" s="36">
        <f>IF(OR('User Input'!$B$42="under30",'User Input'!$B$42=""),1,IF('User Input'!$B$42="30to45",IF((IFERROR(MATCH(Profiles!W66,{"None","Light","Medium","Heavy"},0)-1,0)+IFERROR(MATCH(Profiles!AB66,{"Low","Medium","High"},0)-1,0))&gt;=5,0.85,1),IF('User Input'!$B$42="46to60",IF((IFERROR(MATCH(Profiles!W66,{"None","Light","Medium","Heavy"},0)-1,0)+IFERROR(MATCH(Profiles!AB66,{"Low","Medium","High"},0)-1,0))&gt;=5,0.65,IF((IFERROR(MATCH(Profiles!W66,{"None","Light","Medium","Heavy"},0)-1,0)+IFERROR(MATCH(Profiles!AB66,{"Low","Medium","High"},0)-1,0))&gt;=4,0.8,IF((IFERROR(MATCH(Profiles!W66,{"None","Light","Medium","Heavy"},0)-1,0)+IFERROR(MATCH(Profiles!AB66,{"Low","Medium","High"},0)-1,0))&gt;=3,0.9,1))),IF((IFERROR(MATCH(Profiles!W66,{"None","Light","Medium","Heavy"},0)-1,0)+IFERROR(MATCH(Profiles!AB66,{"Low","Medium","High"},0)-1,0))&gt;=5,0.4,IF((IFERROR(MATCH(Profiles!W66,{"None","Light","Medium","Heavy"},0)-1,0)+IFERROR(MATCH(Profiles!AB66,{"Low","Medium","High"},0)-1,0))&gt;=4,0.6,IF((IFERROR(MATCH(Profiles!W66,{"None","Light","Medium","Heavy"},0)-1,0)+IFERROR(MATCH(Profiles!AB66,{"Low","Medium","High"},0)-1,0))&gt;=3,0.75,IF((IFERROR(MATCH(Profiles!W66,{"None","Light","Medium","Heavy"},0)-1,0)+IFERROR(MATCH(Profiles!AB66,{"Low","Medium","High"},0)-1,0))&gt;=2,0.85,1)))))))</f>
        <v/>
      </c>
      <c r="Z65" s="36">
        <f>IF(OR('User Input'!$B$43="none",'User Input'!$B$43=""),1,IF('User Input'!$B$43="minor",IF(IFERROR(MATCH(Profiles!W66,{"None","Light","Medium","Heavy"},0)-1,0)&gt;=3,0.7,IF(IFERROR(MATCH(Profiles!W66,{"None","Light","Medium","Heavy"},0)-1,0)&gt;=2,0.85,1)),IF('User Input'!$B$43="joint",IF(OR(IFERROR(MATCH(Profiles!W66,{"None","Light","Medium","Heavy"},0)-1,0)&gt;=3,IFERROR(MATCH(Profiles!AB66,{"Low","Medium","High"},0)-1,0)&gt;=2),0.5,IF(OR(IFERROR(MATCH(Profiles!W66,{"None","Light","Medium","Heavy"},0)-1,0)&gt;=2,IFERROR(MATCH(Profiles!AB66,{"Low","Medium","High"},0)-1,0)&gt;=1),0.75,1)),IF(OR(IFERROR(MATCH(Profiles!W66,{"None","Light","Medium","Heavy"},0)-1,0)&gt;=2,IFERROR(MATCH(Profiles!AB66,{"Low","Medium","High"},0)-1,0)&gt;=2),0.3,IF(OR(IFERROR(MATCH(Profiles!W66,{"None","Light","Medium","Heavy"},0)-1,0)&gt;=1,IFERROR(MATCH(Profiles!AB66,{"Low","Medium","High"},0)-1,0)&gt;=1),0.6,0.9)))))</f>
        <v/>
      </c>
    </row>
    <row r="66" ht="15" customHeight="1" s="37">
      <c r="A66" s="59">
        <f>Profiles!A67</f>
        <v/>
      </c>
      <c r="B66" s="59">
        <f>Profiles!B67</f>
        <v/>
      </c>
      <c r="C66" s="59">
        <f>Profiles!C67</f>
        <v/>
      </c>
      <c r="D66" s="59">
        <f>Profiles!D67</f>
        <v/>
      </c>
      <c r="E66" s="60">
        <f>IF(ISNUMBER(Profiles!E67),IF(ISNUMBER(Profiles!F67),MAX(0,1-(MAX(0,ABS('User Input'!$B$9-Profiles!E67)-Profiles!F67))/Profiles!F67/3),MAX(0,1-ABS('User Input'!$B$9-Profiles!E67)/(Profiles!E67*0.1)/3)),0.5)</f>
        <v/>
      </c>
      <c r="F66" s="60">
        <f>IF(ISNUMBER(Profiles!G67),IF(ISNUMBER(Profiles!H67),MAX(0,1-(MAX(0,ABS('User Input'!$B$10-Profiles!G67)-Profiles!H67))/Profiles!H67/3),MAX(0,1-ABS('User Input'!$B$10-Profiles!G67)/(Profiles!G67*0.15)/3)),0.5)</f>
        <v/>
      </c>
      <c r="G66" s="60">
        <f>IF(ISNUMBER(Profiles!J67),MAX(0,1-ABS('User Input'!$B$12-Profiles!J67)/5/3),0.5)</f>
        <v/>
      </c>
      <c r="H66" s="60">
        <f>IF(ISNUMBER(Profiles!K67),MAX(0,1-ABS('User Input'!$B$14-Profiles!K67)/0.03/3),"n/a")</f>
        <v/>
      </c>
      <c r="I66" s="61">
        <f>100*MAX(0,1-(MAX(0,Profiles!M67-'User Input'!$B$17)+0.5*MAX(0,'User Input'!$B$17-Profiles!M67)+MAX(0,Profiles!N67-'User Input'!$B$18)+0.5*MAX(0,'User Input'!$B$18-Profiles!N67)+MAX(0,Profiles!O67-'User Input'!$B$19)+0.5*MAX(0,'User Input'!$B$19-Profiles!O67)+MAX(0,Profiles!P67-'User Input'!$B$20)+0.5*MAX(0,'User Input'!$B$20-Profiles!P67)+MAX(0,Profiles!Q67-'User Input'!$B$21)+0.5*MAX(0,'User Input'!$B$21-Profiles!Q67)+MAX(0,Profiles!S67-'User Input'!$B$22)+0.5*MAX(0,'User Input'!$B$22-Profiles!S67)+MAX(0,Profiles!T67-'User Input'!$B$23)+0.5*MAX(0,'User Input'!$B$23-Profiles!T67)+MAX(0,Profiles!U67-'User Input'!$B$24)+0.5*MAX(0,'User Input'!$B$24-Profiles!U67))/40)</f>
        <v/>
      </c>
      <c r="J66" s="61">
        <f>ROUND(60*(E66+F66+G66+IFERROR(VALUE(H66),(E66+F66+G66)/3))/4 + 0.4*I66,1)</f>
        <v/>
      </c>
      <c r="K66" s="60">
        <f>IF(OR(AND('User Input'!$B$6="M",Profiles!$AG67="M"),AND('User Input'!$B$6="F",Profiles!$AG67="F")),1,0)</f>
        <v/>
      </c>
      <c r="L66" s="60">
        <f>IF('User Input'!$B$27="Either",(IF(Profiles!V67&gt;=4,1,0.3)+IF(OR(Profiles!V67&lt;=2,ISNUMBER(SEARCH("Individual",Profiles!D67))),1,0.3))/2,IF('User Input'!$B$27="Team",IF(Profiles!V67&gt;=4,1,0.3),IF(OR(Profiles!V67&lt;=2,ISNUMBER(SEARCH("Individual",Profiles!D67))),1,0.3)))</f>
        <v/>
      </c>
      <c r="M66" s="60">
        <f>IF(IFERROR(MATCH(Profiles!W67,{"None","Light","Medium","Heavy"},0)-1,0)&lt;=IFERROR(MATCH('User Input'!$B$28,{"None","Light","Medium","Heavy"},0)-1,3),1,MAX(0,1-0.4*(IFERROR(MATCH(Profiles!W67,{"None","Light","Medium","Heavy"},0)-1,0)-IFERROR(MATCH('User Input'!$B$28,{"None","Light","Medium","Heavy"},0)-1,3))))</f>
        <v/>
      </c>
      <c r="N66" s="60">
        <f>IF('User Input'!$B$29="neutral",1,IF('User Input'!$B$29="essential",IF(ISNUMBER(SEARCH("Outdoor",Profiles!X67)),1,0.3),IF('User Input'!$B$29="nice",IF(ISNUMBER(SEARCH("Outdoor",Profiles!X67)),1,0.65),IF('User Input'!$B$29="indoor",IF(ISNUMBER(SEARCH("Indoor",Profiles!X67)),1,0.4),1))))</f>
        <v/>
      </c>
      <c r="O66" s="60">
        <f>IF('User Input'!$B$30="Yes",1,IF(Profiles!Y67="Yes",0,1))</f>
        <v/>
      </c>
      <c r="P66" s="60">
        <f>IF(IFERROR(MATCH(Profiles!Z67,{"Low","Medium","High"},0),2)&lt;=IFERROR(MATCH('User Input'!$B$31,{"Low","Medium","High"},0),2),1,MAX(0,1-0.4*(IFERROR(MATCH(Profiles!Z67,{"Low","Medium","High"},0),2)-IFERROR(MATCH('User Input'!$B$31,{"Low","Medium","High"},0),2))))</f>
        <v/>
      </c>
      <c r="Q66" s="60">
        <f>IF('User Input'!$B$32="Yes",IF(ISNUMBER(Profiles!AC67),Profiles!AC67/10,0.5),1)</f>
        <v/>
      </c>
      <c r="R66" s="61">
        <f>IF(OR(K66=0,O66=0),0,ROUND(MIN(100,100*(K66*0.1+L66*0.2+M66*0.2+N66*0.1+P66*0.15+Q66*0.25)*W66*X66*Y66*Z66),1))</f>
        <v/>
      </c>
      <c r="S66" s="61">
        <f>IF(R66=0,0,ROUND(0.5*J66+0.5*R66,1))</f>
        <v/>
      </c>
      <c r="T66" s="36">
        <f>J66-ROW()/1000000</f>
        <v/>
      </c>
      <c r="U66" s="36">
        <f>R66-ROW()/1000000</f>
        <v/>
      </c>
      <c r="V66" s="36">
        <f>S66-ROW()/1000000</f>
        <v/>
      </c>
      <c r="W66" s="36">
        <f>IF(OR(AND(OR(Profiles!D67="Team field",Profiles!D67="Team field contact",Profiles!D67="Team field stick"),'User Input'!$B$34="Yes"),AND(OR(Profiles!D67="Team court",Profiles!D67="Team court contact"),'User Input'!$B$35="Yes"),AND(Profiles!D67="Individual racquet",'User Input'!$B$36="Yes"),AND(OR(Profiles!D67="Combat striking",Profiles!D67="Combat grappling",Profiles!D67="Combat mixed"),'User Input'!$B$37="Yes"),AND(OR(Profiles!D67="Team water contact",Profiles!D67="Individual water"),'User Input'!$B$38="Yes"),AND(OR(Profiles!D67="Endurance individual",Profiles!D67="Endurance individual / pair",Profiles!D67="Endurance individual / pursuit",Profiles!D67="Endurance team / pair",Profiles!D67="Endurance multi"),'User Input'!$B$39="Yes"),AND(OR(Profiles!D67="Strength individual",Profiles!D67="Power-throw individual"),'User Input'!$B$40="Yes"),AND(OR(Profiles!D67="Individual technical",Profiles!D67="Individual aesthetic",Profiles!D67="Team precision"),'User Input'!$B$41="Yes")),1.15,1)</f>
        <v/>
      </c>
      <c r="X66" s="36">
        <f>IF('User Input'!$B$33&lt;&gt;"none",1,IF(IFERROR(VALUE(TRIM(MID(SUBSTITUTE(SUBSTITUTE(Profiles!AA67,"–","-"),"-",REPT(" ",100)),100,100)))&lt;=14,FALSE),0.7,1))</f>
        <v/>
      </c>
      <c r="Y66" s="36">
        <f>IF(OR('User Input'!$B$42="under30",'User Input'!$B$42=""),1,IF('User Input'!$B$42="30to45",IF((IFERROR(MATCH(Profiles!W67,{"None","Light","Medium","Heavy"},0)-1,0)+IFERROR(MATCH(Profiles!AB67,{"Low","Medium","High"},0)-1,0))&gt;=5,0.85,1),IF('User Input'!$B$42="46to60",IF((IFERROR(MATCH(Profiles!W67,{"None","Light","Medium","Heavy"},0)-1,0)+IFERROR(MATCH(Profiles!AB67,{"Low","Medium","High"},0)-1,0))&gt;=5,0.65,IF((IFERROR(MATCH(Profiles!W67,{"None","Light","Medium","Heavy"},0)-1,0)+IFERROR(MATCH(Profiles!AB67,{"Low","Medium","High"},0)-1,0))&gt;=4,0.8,IF((IFERROR(MATCH(Profiles!W67,{"None","Light","Medium","Heavy"},0)-1,0)+IFERROR(MATCH(Profiles!AB67,{"Low","Medium","High"},0)-1,0))&gt;=3,0.9,1))),IF((IFERROR(MATCH(Profiles!W67,{"None","Light","Medium","Heavy"},0)-1,0)+IFERROR(MATCH(Profiles!AB67,{"Low","Medium","High"},0)-1,0))&gt;=5,0.4,IF((IFERROR(MATCH(Profiles!W67,{"None","Light","Medium","Heavy"},0)-1,0)+IFERROR(MATCH(Profiles!AB67,{"Low","Medium","High"},0)-1,0))&gt;=4,0.6,IF((IFERROR(MATCH(Profiles!W67,{"None","Light","Medium","Heavy"},0)-1,0)+IFERROR(MATCH(Profiles!AB67,{"Low","Medium","High"},0)-1,0))&gt;=3,0.75,IF((IFERROR(MATCH(Profiles!W67,{"None","Light","Medium","Heavy"},0)-1,0)+IFERROR(MATCH(Profiles!AB67,{"Low","Medium","High"},0)-1,0))&gt;=2,0.85,1)))))))</f>
        <v/>
      </c>
      <c r="Z66" s="36">
        <f>IF(OR('User Input'!$B$43="none",'User Input'!$B$43=""),1,IF('User Input'!$B$43="minor",IF(IFERROR(MATCH(Profiles!W67,{"None","Light","Medium","Heavy"},0)-1,0)&gt;=3,0.7,IF(IFERROR(MATCH(Profiles!W67,{"None","Light","Medium","Heavy"},0)-1,0)&gt;=2,0.85,1)),IF('User Input'!$B$43="joint",IF(OR(IFERROR(MATCH(Profiles!W67,{"None","Light","Medium","Heavy"},0)-1,0)&gt;=3,IFERROR(MATCH(Profiles!AB67,{"Low","Medium","High"},0)-1,0)&gt;=2),0.5,IF(OR(IFERROR(MATCH(Profiles!W67,{"None","Light","Medium","Heavy"},0)-1,0)&gt;=2,IFERROR(MATCH(Profiles!AB67,{"Low","Medium","High"},0)-1,0)&gt;=1),0.75,1)),IF(OR(IFERROR(MATCH(Profiles!W67,{"None","Light","Medium","Heavy"},0)-1,0)&gt;=2,IFERROR(MATCH(Profiles!AB67,{"Low","Medium","High"},0)-1,0)&gt;=2),0.3,IF(OR(IFERROR(MATCH(Profiles!W67,{"None","Light","Medium","Heavy"},0)-1,0)&gt;=1,IFERROR(MATCH(Profiles!AB67,{"Low","Medium","High"},0)-1,0)&gt;=1),0.6,0.9)))))</f>
        <v/>
      </c>
    </row>
    <row r="67" ht="15" customHeight="1" s="37">
      <c r="A67" s="59">
        <f>Profiles!A68</f>
        <v/>
      </c>
      <c r="B67" s="59">
        <f>Profiles!B68</f>
        <v/>
      </c>
      <c r="C67" s="59">
        <f>Profiles!C68</f>
        <v/>
      </c>
      <c r="D67" s="59">
        <f>Profiles!D68</f>
        <v/>
      </c>
      <c r="E67" s="60">
        <f>IF(ISNUMBER(Profiles!E68),IF(ISNUMBER(Profiles!F68),MAX(0,1-(MAX(0,ABS('User Input'!$B$9-Profiles!E68)-Profiles!F68))/Profiles!F68/3),MAX(0,1-ABS('User Input'!$B$9-Profiles!E68)/(Profiles!E68*0.1)/3)),0.5)</f>
        <v/>
      </c>
      <c r="F67" s="60">
        <f>IF(ISNUMBER(Profiles!G68),IF(ISNUMBER(Profiles!H68),MAX(0,1-(MAX(0,ABS('User Input'!$B$10-Profiles!G68)-Profiles!H68))/Profiles!H68/3),MAX(0,1-ABS('User Input'!$B$10-Profiles!G68)/(Profiles!G68*0.15)/3)),0.5)</f>
        <v/>
      </c>
      <c r="G67" s="60">
        <f>IF(ISNUMBER(Profiles!J68),MAX(0,1-ABS('User Input'!$B$12-Profiles!J68)/5/3),0.5)</f>
        <v/>
      </c>
      <c r="H67" s="60">
        <f>IF(ISNUMBER(Profiles!K68),MAX(0,1-ABS('User Input'!$B$14-Profiles!K68)/0.03/3),"n/a")</f>
        <v/>
      </c>
      <c r="I67" s="61">
        <f>100*MAX(0,1-(MAX(0,Profiles!M68-'User Input'!$B$17)+0.5*MAX(0,'User Input'!$B$17-Profiles!M68)+MAX(0,Profiles!N68-'User Input'!$B$18)+0.5*MAX(0,'User Input'!$B$18-Profiles!N68)+MAX(0,Profiles!O68-'User Input'!$B$19)+0.5*MAX(0,'User Input'!$B$19-Profiles!O68)+MAX(0,Profiles!P68-'User Input'!$B$20)+0.5*MAX(0,'User Input'!$B$20-Profiles!P68)+MAX(0,Profiles!Q68-'User Input'!$B$21)+0.5*MAX(0,'User Input'!$B$21-Profiles!Q68)+MAX(0,Profiles!S68-'User Input'!$B$22)+0.5*MAX(0,'User Input'!$B$22-Profiles!S68)+MAX(0,Profiles!T68-'User Input'!$B$23)+0.5*MAX(0,'User Input'!$B$23-Profiles!T68)+MAX(0,Profiles!U68-'User Input'!$B$24)+0.5*MAX(0,'User Input'!$B$24-Profiles!U68))/40)</f>
        <v/>
      </c>
      <c r="J67" s="61">
        <f>ROUND(60*(E67+F67+G67+IFERROR(VALUE(H67),(E67+F67+G67)/3))/4 + 0.4*I67,1)</f>
        <v/>
      </c>
      <c r="K67" s="60">
        <f>IF(OR(AND('User Input'!$B$6="M",Profiles!$AG68="M"),AND('User Input'!$B$6="F",Profiles!$AG68="F")),1,0)</f>
        <v/>
      </c>
      <c r="L67" s="60">
        <f>IF('User Input'!$B$27="Either",(IF(Profiles!V68&gt;=4,1,0.3)+IF(OR(Profiles!V68&lt;=2,ISNUMBER(SEARCH("Individual",Profiles!D68))),1,0.3))/2,IF('User Input'!$B$27="Team",IF(Profiles!V68&gt;=4,1,0.3),IF(OR(Profiles!V68&lt;=2,ISNUMBER(SEARCH("Individual",Profiles!D68))),1,0.3)))</f>
        <v/>
      </c>
      <c r="M67" s="60">
        <f>IF(IFERROR(MATCH(Profiles!W68,{"None","Light","Medium","Heavy"},0)-1,0)&lt;=IFERROR(MATCH('User Input'!$B$28,{"None","Light","Medium","Heavy"},0)-1,3),1,MAX(0,1-0.4*(IFERROR(MATCH(Profiles!W68,{"None","Light","Medium","Heavy"},0)-1,0)-IFERROR(MATCH('User Input'!$B$28,{"None","Light","Medium","Heavy"},0)-1,3))))</f>
        <v/>
      </c>
      <c r="N67" s="60">
        <f>IF('User Input'!$B$29="neutral",1,IF('User Input'!$B$29="essential",IF(ISNUMBER(SEARCH("Outdoor",Profiles!X68)),1,0.3),IF('User Input'!$B$29="nice",IF(ISNUMBER(SEARCH("Outdoor",Profiles!X68)),1,0.65),IF('User Input'!$B$29="indoor",IF(ISNUMBER(SEARCH("Indoor",Profiles!X68)),1,0.4),1))))</f>
        <v/>
      </c>
      <c r="O67" s="60">
        <f>IF('User Input'!$B$30="Yes",1,IF(Profiles!Y68="Yes",0,1))</f>
        <v/>
      </c>
      <c r="P67" s="60">
        <f>IF(IFERROR(MATCH(Profiles!Z68,{"Low","Medium","High"},0),2)&lt;=IFERROR(MATCH('User Input'!$B$31,{"Low","Medium","High"},0),2),1,MAX(0,1-0.4*(IFERROR(MATCH(Profiles!Z68,{"Low","Medium","High"},0),2)-IFERROR(MATCH('User Input'!$B$31,{"Low","Medium","High"},0),2))))</f>
        <v/>
      </c>
      <c r="Q67" s="60">
        <f>IF('User Input'!$B$32="Yes",IF(ISNUMBER(Profiles!AC68),Profiles!AC68/10,0.5),1)</f>
        <v/>
      </c>
      <c r="R67" s="61">
        <f>IF(OR(K67=0,O67=0),0,ROUND(MIN(100,100*(K67*0.1+L67*0.2+M67*0.2+N67*0.1+P67*0.15+Q67*0.25)*W67*X67*Y67*Z67),1))</f>
        <v/>
      </c>
      <c r="S67" s="61">
        <f>IF(R67=0,0,ROUND(0.5*J67+0.5*R67,1))</f>
        <v/>
      </c>
      <c r="T67" s="36">
        <f>J67-ROW()/1000000</f>
        <v/>
      </c>
      <c r="U67" s="36">
        <f>R67-ROW()/1000000</f>
        <v/>
      </c>
      <c r="V67" s="36">
        <f>S67-ROW()/1000000</f>
        <v/>
      </c>
      <c r="W67" s="36">
        <f>IF(OR(AND(OR(Profiles!D68="Team field",Profiles!D68="Team field contact",Profiles!D68="Team field stick"),'User Input'!$B$34="Yes"),AND(OR(Profiles!D68="Team court",Profiles!D68="Team court contact"),'User Input'!$B$35="Yes"),AND(Profiles!D68="Individual racquet",'User Input'!$B$36="Yes"),AND(OR(Profiles!D68="Combat striking",Profiles!D68="Combat grappling",Profiles!D68="Combat mixed"),'User Input'!$B$37="Yes"),AND(OR(Profiles!D68="Team water contact",Profiles!D68="Individual water"),'User Input'!$B$38="Yes"),AND(OR(Profiles!D68="Endurance individual",Profiles!D68="Endurance individual / pair",Profiles!D68="Endurance individual / pursuit",Profiles!D68="Endurance team / pair",Profiles!D68="Endurance multi"),'User Input'!$B$39="Yes"),AND(OR(Profiles!D68="Strength individual",Profiles!D68="Power-throw individual"),'User Input'!$B$40="Yes"),AND(OR(Profiles!D68="Individual technical",Profiles!D68="Individual aesthetic",Profiles!D68="Team precision"),'User Input'!$B$41="Yes")),1.15,1)</f>
        <v/>
      </c>
      <c r="X67" s="36">
        <f>IF('User Input'!$B$33&lt;&gt;"none",1,IF(IFERROR(VALUE(TRIM(MID(SUBSTITUTE(SUBSTITUTE(Profiles!AA68,"–","-"),"-",REPT(" ",100)),100,100)))&lt;=14,FALSE),0.7,1))</f>
        <v/>
      </c>
      <c r="Y67" s="36">
        <f>IF(OR('User Input'!$B$42="under30",'User Input'!$B$42=""),1,IF('User Input'!$B$42="30to45",IF((IFERROR(MATCH(Profiles!W68,{"None","Light","Medium","Heavy"},0)-1,0)+IFERROR(MATCH(Profiles!AB68,{"Low","Medium","High"},0)-1,0))&gt;=5,0.85,1),IF('User Input'!$B$42="46to60",IF((IFERROR(MATCH(Profiles!W68,{"None","Light","Medium","Heavy"},0)-1,0)+IFERROR(MATCH(Profiles!AB68,{"Low","Medium","High"},0)-1,0))&gt;=5,0.65,IF((IFERROR(MATCH(Profiles!W68,{"None","Light","Medium","Heavy"},0)-1,0)+IFERROR(MATCH(Profiles!AB68,{"Low","Medium","High"},0)-1,0))&gt;=4,0.8,IF((IFERROR(MATCH(Profiles!W68,{"None","Light","Medium","Heavy"},0)-1,0)+IFERROR(MATCH(Profiles!AB68,{"Low","Medium","High"},0)-1,0))&gt;=3,0.9,1))),IF((IFERROR(MATCH(Profiles!W68,{"None","Light","Medium","Heavy"},0)-1,0)+IFERROR(MATCH(Profiles!AB68,{"Low","Medium","High"},0)-1,0))&gt;=5,0.4,IF((IFERROR(MATCH(Profiles!W68,{"None","Light","Medium","Heavy"},0)-1,0)+IFERROR(MATCH(Profiles!AB68,{"Low","Medium","High"},0)-1,0))&gt;=4,0.6,IF((IFERROR(MATCH(Profiles!W68,{"None","Light","Medium","Heavy"},0)-1,0)+IFERROR(MATCH(Profiles!AB68,{"Low","Medium","High"},0)-1,0))&gt;=3,0.75,IF((IFERROR(MATCH(Profiles!W68,{"None","Light","Medium","Heavy"},0)-1,0)+IFERROR(MATCH(Profiles!AB68,{"Low","Medium","High"},0)-1,0))&gt;=2,0.85,1)))))))</f>
        <v/>
      </c>
      <c r="Z67" s="36">
        <f>IF(OR('User Input'!$B$43="none",'User Input'!$B$43=""),1,IF('User Input'!$B$43="minor",IF(IFERROR(MATCH(Profiles!W68,{"None","Light","Medium","Heavy"},0)-1,0)&gt;=3,0.7,IF(IFERROR(MATCH(Profiles!W68,{"None","Light","Medium","Heavy"},0)-1,0)&gt;=2,0.85,1)),IF('User Input'!$B$43="joint",IF(OR(IFERROR(MATCH(Profiles!W68,{"None","Light","Medium","Heavy"},0)-1,0)&gt;=3,IFERROR(MATCH(Profiles!AB68,{"Low","Medium","High"},0)-1,0)&gt;=2),0.5,IF(OR(IFERROR(MATCH(Profiles!W68,{"None","Light","Medium","Heavy"},0)-1,0)&gt;=2,IFERROR(MATCH(Profiles!AB68,{"Low","Medium","High"},0)-1,0)&gt;=1),0.75,1)),IF(OR(IFERROR(MATCH(Profiles!W68,{"None","Light","Medium","Heavy"},0)-1,0)&gt;=2,IFERROR(MATCH(Profiles!AB68,{"Low","Medium","High"},0)-1,0)&gt;=2),0.3,IF(OR(IFERROR(MATCH(Profiles!W68,{"None","Light","Medium","Heavy"},0)-1,0)&gt;=1,IFERROR(MATCH(Profiles!AB68,{"Low","Medium","High"},0)-1,0)&gt;=1),0.6,0.9)))))</f>
        <v/>
      </c>
    </row>
    <row r="68" ht="15" customHeight="1" s="37">
      <c r="A68" s="59">
        <f>Profiles!A69</f>
        <v/>
      </c>
      <c r="B68" s="59">
        <f>Profiles!B69</f>
        <v/>
      </c>
      <c r="C68" s="59">
        <f>Profiles!C69</f>
        <v/>
      </c>
      <c r="D68" s="59">
        <f>Profiles!D69</f>
        <v/>
      </c>
      <c r="E68" s="60">
        <f>IF(ISNUMBER(Profiles!E69),IF(ISNUMBER(Profiles!F69),MAX(0,1-(MAX(0,ABS('User Input'!$B$9-Profiles!E69)-Profiles!F69))/Profiles!F69/3),MAX(0,1-ABS('User Input'!$B$9-Profiles!E69)/(Profiles!E69*0.1)/3)),0.5)</f>
        <v/>
      </c>
      <c r="F68" s="60">
        <f>IF(ISNUMBER(Profiles!G69),IF(ISNUMBER(Profiles!H69),MAX(0,1-(MAX(0,ABS('User Input'!$B$10-Profiles!G69)-Profiles!H69))/Profiles!H69/3),MAX(0,1-ABS('User Input'!$B$10-Profiles!G69)/(Profiles!G69*0.15)/3)),0.5)</f>
        <v/>
      </c>
      <c r="G68" s="60">
        <f>IF(ISNUMBER(Profiles!J69),MAX(0,1-ABS('User Input'!$B$12-Profiles!J69)/5/3),0.5)</f>
        <v/>
      </c>
      <c r="H68" s="60">
        <f>IF(ISNUMBER(Profiles!K69),MAX(0,1-ABS('User Input'!$B$14-Profiles!K69)/0.03/3),"n/a")</f>
        <v/>
      </c>
      <c r="I68" s="61">
        <f>100*MAX(0,1-(MAX(0,Profiles!M69-'User Input'!$B$17)+0.5*MAX(0,'User Input'!$B$17-Profiles!M69)+MAX(0,Profiles!N69-'User Input'!$B$18)+0.5*MAX(0,'User Input'!$B$18-Profiles!N69)+MAX(0,Profiles!O69-'User Input'!$B$19)+0.5*MAX(0,'User Input'!$B$19-Profiles!O69)+MAX(0,Profiles!P69-'User Input'!$B$20)+0.5*MAX(0,'User Input'!$B$20-Profiles!P69)+MAX(0,Profiles!Q69-'User Input'!$B$21)+0.5*MAX(0,'User Input'!$B$21-Profiles!Q69)+MAX(0,Profiles!S69-'User Input'!$B$22)+0.5*MAX(0,'User Input'!$B$22-Profiles!S69)+MAX(0,Profiles!T69-'User Input'!$B$23)+0.5*MAX(0,'User Input'!$B$23-Profiles!T69)+MAX(0,Profiles!U69-'User Input'!$B$24)+0.5*MAX(0,'User Input'!$B$24-Profiles!U69))/40)</f>
        <v/>
      </c>
      <c r="J68" s="61">
        <f>ROUND(60*(E68+F68+G68+IFERROR(VALUE(H68),(E68+F68+G68)/3))/4 + 0.4*I68,1)</f>
        <v/>
      </c>
      <c r="K68" s="60">
        <f>IF(OR(AND('User Input'!$B$6="M",Profiles!$AG69="M"),AND('User Input'!$B$6="F",Profiles!$AG69="F")),1,0)</f>
        <v/>
      </c>
      <c r="L68" s="60">
        <f>IF('User Input'!$B$27="Either",(IF(Profiles!V69&gt;=4,1,0.3)+IF(OR(Profiles!V69&lt;=2,ISNUMBER(SEARCH("Individual",Profiles!D69))),1,0.3))/2,IF('User Input'!$B$27="Team",IF(Profiles!V69&gt;=4,1,0.3),IF(OR(Profiles!V69&lt;=2,ISNUMBER(SEARCH("Individual",Profiles!D69))),1,0.3)))</f>
        <v/>
      </c>
      <c r="M68" s="60">
        <f>IF(IFERROR(MATCH(Profiles!W69,{"None","Light","Medium","Heavy"},0)-1,0)&lt;=IFERROR(MATCH('User Input'!$B$28,{"None","Light","Medium","Heavy"},0)-1,3),1,MAX(0,1-0.4*(IFERROR(MATCH(Profiles!W69,{"None","Light","Medium","Heavy"},0)-1,0)-IFERROR(MATCH('User Input'!$B$28,{"None","Light","Medium","Heavy"},0)-1,3))))</f>
        <v/>
      </c>
      <c r="N68" s="60">
        <f>IF('User Input'!$B$29="neutral",1,IF('User Input'!$B$29="essential",IF(ISNUMBER(SEARCH("Outdoor",Profiles!X69)),1,0.3),IF('User Input'!$B$29="nice",IF(ISNUMBER(SEARCH("Outdoor",Profiles!X69)),1,0.65),IF('User Input'!$B$29="indoor",IF(ISNUMBER(SEARCH("Indoor",Profiles!X69)),1,0.4),1))))</f>
        <v/>
      </c>
      <c r="O68" s="60">
        <f>IF('User Input'!$B$30="Yes",1,IF(Profiles!Y69="Yes",0,1))</f>
        <v/>
      </c>
      <c r="P68" s="60">
        <f>IF(IFERROR(MATCH(Profiles!Z69,{"Low","Medium","High"},0),2)&lt;=IFERROR(MATCH('User Input'!$B$31,{"Low","Medium","High"},0),2),1,MAX(0,1-0.4*(IFERROR(MATCH(Profiles!Z69,{"Low","Medium","High"},0),2)-IFERROR(MATCH('User Input'!$B$31,{"Low","Medium","High"},0),2))))</f>
        <v/>
      </c>
      <c r="Q68" s="60">
        <f>IF('User Input'!$B$32="Yes",IF(ISNUMBER(Profiles!AC69),Profiles!AC69/10,0.5),1)</f>
        <v/>
      </c>
      <c r="R68" s="61">
        <f>IF(OR(K68=0,O68=0),0,ROUND(MIN(100,100*(K68*0.1+L68*0.2+M68*0.2+N68*0.1+P68*0.15+Q68*0.25)*W68*X68*Y68*Z68),1))</f>
        <v/>
      </c>
      <c r="S68" s="61">
        <f>IF(R68=0,0,ROUND(0.5*J68+0.5*R68,1))</f>
        <v/>
      </c>
      <c r="T68" s="36">
        <f>J68-ROW()/1000000</f>
        <v/>
      </c>
      <c r="U68" s="36">
        <f>R68-ROW()/1000000</f>
        <v/>
      </c>
      <c r="V68" s="36">
        <f>S68-ROW()/1000000</f>
        <v/>
      </c>
      <c r="W68" s="36">
        <f>IF(OR(AND(OR(Profiles!D69="Team field",Profiles!D69="Team field contact",Profiles!D69="Team field stick"),'User Input'!$B$34="Yes"),AND(OR(Profiles!D69="Team court",Profiles!D69="Team court contact"),'User Input'!$B$35="Yes"),AND(Profiles!D69="Individual racquet",'User Input'!$B$36="Yes"),AND(OR(Profiles!D69="Combat striking",Profiles!D69="Combat grappling",Profiles!D69="Combat mixed"),'User Input'!$B$37="Yes"),AND(OR(Profiles!D69="Team water contact",Profiles!D69="Individual water"),'User Input'!$B$38="Yes"),AND(OR(Profiles!D69="Endurance individual",Profiles!D69="Endurance individual / pair",Profiles!D69="Endurance individual / pursuit",Profiles!D69="Endurance team / pair",Profiles!D69="Endurance multi"),'User Input'!$B$39="Yes"),AND(OR(Profiles!D69="Strength individual",Profiles!D69="Power-throw individual"),'User Input'!$B$40="Yes"),AND(OR(Profiles!D69="Individual technical",Profiles!D69="Individual aesthetic",Profiles!D69="Team precision"),'User Input'!$B$41="Yes")),1.15,1)</f>
        <v/>
      </c>
      <c r="X68" s="36">
        <f>IF('User Input'!$B$33&lt;&gt;"none",1,IF(IFERROR(VALUE(TRIM(MID(SUBSTITUTE(SUBSTITUTE(Profiles!AA69,"–","-"),"-",REPT(" ",100)),100,100)))&lt;=14,FALSE),0.7,1))</f>
        <v/>
      </c>
      <c r="Y68" s="36">
        <f>IF(OR('User Input'!$B$42="under30",'User Input'!$B$42=""),1,IF('User Input'!$B$42="30to45",IF((IFERROR(MATCH(Profiles!W69,{"None","Light","Medium","Heavy"},0)-1,0)+IFERROR(MATCH(Profiles!AB69,{"Low","Medium","High"},0)-1,0))&gt;=5,0.85,1),IF('User Input'!$B$42="46to60",IF((IFERROR(MATCH(Profiles!W69,{"None","Light","Medium","Heavy"},0)-1,0)+IFERROR(MATCH(Profiles!AB69,{"Low","Medium","High"},0)-1,0))&gt;=5,0.65,IF((IFERROR(MATCH(Profiles!W69,{"None","Light","Medium","Heavy"},0)-1,0)+IFERROR(MATCH(Profiles!AB69,{"Low","Medium","High"},0)-1,0))&gt;=4,0.8,IF((IFERROR(MATCH(Profiles!W69,{"None","Light","Medium","Heavy"},0)-1,0)+IFERROR(MATCH(Profiles!AB69,{"Low","Medium","High"},0)-1,0))&gt;=3,0.9,1))),IF((IFERROR(MATCH(Profiles!W69,{"None","Light","Medium","Heavy"},0)-1,0)+IFERROR(MATCH(Profiles!AB69,{"Low","Medium","High"},0)-1,0))&gt;=5,0.4,IF((IFERROR(MATCH(Profiles!W69,{"None","Light","Medium","Heavy"},0)-1,0)+IFERROR(MATCH(Profiles!AB69,{"Low","Medium","High"},0)-1,0))&gt;=4,0.6,IF((IFERROR(MATCH(Profiles!W69,{"None","Light","Medium","Heavy"},0)-1,0)+IFERROR(MATCH(Profiles!AB69,{"Low","Medium","High"},0)-1,0))&gt;=3,0.75,IF((IFERROR(MATCH(Profiles!W69,{"None","Light","Medium","Heavy"},0)-1,0)+IFERROR(MATCH(Profiles!AB69,{"Low","Medium","High"},0)-1,0))&gt;=2,0.85,1)))))))</f>
        <v/>
      </c>
      <c r="Z68" s="36">
        <f>IF(OR('User Input'!$B$43="none",'User Input'!$B$43=""),1,IF('User Input'!$B$43="minor",IF(IFERROR(MATCH(Profiles!W69,{"None","Light","Medium","Heavy"},0)-1,0)&gt;=3,0.7,IF(IFERROR(MATCH(Profiles!W69,{"None","Light","Medium","Heavy"},0)-1,0)&gt;=2,0.85,1)),IF('User Input'!$B$43="joint",IF(OR(IFERROR(MATCH(Profiles!W69,{"None","Light","Medium","Heavy"},0)-1,0)&gt;=3,IFERROR(MATCH(Profiles!AB69,{"Low","Medium","High"},0)-1,0)&gt;=2),0.5,IF(OR(IFERROR(MATCH(Profiles!W69,{"None","Light","Medium","Heavy"},0)-1,0)&gt;=2,IFERROR(MATCH(Profiles!AB69,{"Low","Medium","High"},0)-1,0)&gt;=1),0.75,1)),IF(OR(IFERROR(MATCH(Profiles!W69,{"None","Light","Medium","Heavy"},0)-1,0)&gt;=2,IFERROR(MATCH(Profiles!AB69,{"Low","Medium","High"},0)-1,0)&gt;=2),0.3,IF(OR(IFERROR(MATCH(Profiles!W69,{"None","Light","Medium","Heavy"},0)-1,0)&gt;=1,IFERROR(MATCH(Profiles!AB69,{"Low","Medium","High"},0)-1,0)&gt;=1),0.6,0.9)))))</f>
        <v/>
      </c>
    </row>
    <row r="69" ht="15" customHeight="1" s="37">
      <c r="A69" s="59">
        <f>Profiles!A70</f>
        <v/>
      </c>
      <c r="B69" s="59">
        <f>Profiles!B70</f>
        <v/>
      </c>
      <c r="C69" s="59">
        <f>Profiles!C70</f>
        <v/>
      </c>
      <c r="D69" s="59">
        <f>Profiles!D70</f>
        <v/>
      </c>
      <c r="E69" s="60">
        <f>IF(ISNUMBER(Profiles!E70),IF(ISNUMBER(Profiles!F70),MAX(0,1-(MAX(0,ABS('User Input'!$B$9-Profiles!E70)-Profiles!F70))/Profiles!F70/3),MAX(0,1-ABS('User Input'!$B$9-Profiles!E70)/(Profiles!E70*0.1)/3)),0.5)</f>
        <v/>
      </c>
      <c r="F69" s="60">
        <f>IF(ISNUMBER(Profiles!G70),IF(ISNUMBER(Profiles!H70),MAX(0,1-(MAX(0,ABS('User Input'!$B$10-Profiles!G70)-Profiles!H70))/Profiles!H70/3),MAX(0,1-ABS('User Input'!$B$10-Profiles!G70)/(Profiles!G70*0.15)/3)),0.5)</f>
        <v/>
      </c>
      <c r="G69" s="60">
        <f>IF(ISNUMBER(Profiles!J70),MAX(0,1-ABS('User Input'!$B$12-Profiles!J70)/5/3),0.5)</f>
        <v/>
      </c>
      <c r="H69" s="60">
        <f>IF(ISNUMBER(Profiles!K70),MAX(0,1-ABS('User Input'!$B$14-Profiles!K70)/0.03/3),"n/a")</f>
        <v/>
      </c>
      <c r="I69" s="61">
        <f>100*MAX(0,1-(MAX(0,Profiles!M70-'User Input'!$B$17)+0.5*MAX(0,'User Input'!$B$17-Profiles!M70)+MAX(0,Profiles!N70-'User Input'!$B$18)+0.5*MAX(0,'User Input'!$B$18-Profiles!N70)+MAX(0,Profiles!O70-'User Input'!$B$19)+0.5*MAX(0,'User Input'!$B$19-Profiles!O70)+MAX(0,Profiles!P70-'User Input'!$B$20)+0.5*MAX(0,'User Input'!$B$20-Profiles!P70)+MAX(0,Profiles!Q70-'User Input'!$B$21)+0.5*MAX(0,'User Input'!$B$21-Profiles!Q70)+MAX(0,Profiles!S70-'User Input'!$B$22)+0.5*MAX(0,'User Input'!$B$22-Profiles!S70)+MAX(0,Profiles!T70-'User Input'!$B$23)+0.5*MAX(0,'User Input'!$B$23-Profiles!T70)+MAX(0,Profiles!U70-'User Input'!$B$24)+0.5*MAX(0,'User Input'!$B$24-Profiles!U70))/40)</f>
        <v/>
      </c>
      <c r="J69" s="61">
        <f>ROUND(60*(E69+F69+G69+IFERROR(VALUE(H69),(E69+F69+G69)/3))/4 + 0.4*I69,1)</f>
        <v/>
      </c>
      <c r="K69" s="60">
        <f>IF(OR(AND('User Input'!$B$6="M",Profiles!$AG70="M"),AND('User Input'!$B$6="F",Profiles!$AG70="F")),1,0)</f>
        <v/>
      </c>
      <c r="L69" s="60">
        <f>IF('User Input'!$B$27="Either",(IF(Profiles!V70&gt;=4,1,0.3)+IF(OR(Profiles!V70&lt;=2,ISNUMBER(SEARCH("Individual",Profiles!D70))),1,0.3))/2,IF('User Input'!$B$27="Team",IF(Profiles!V70&gt;=4,1,0.3),IF(OR(Profiles!V70&lt;=2,ISNUMBER(SEARCH("Individual",Profiles!D70))),1,0.3)))</f>
        <v/>
      </c>
      <c r="M69" s="60">
        <f>IF(IFERROR(MATCH(Profiles!W70,{"None","Light","Medium","Heavy"},0)-1,0)&lt;=IFERROR(MATCH('User Input'!$B$28,{"None","Light","Medium","Heavy"},0)-1,3),1,MAX(0,1-0.4*(IFERROR(MATCH(Profiles!W70,{"None","Light","Medium","Heavy"},0)-1,0)-IFERROR(MATCH('User Input'!$B$28,{"None","Light","Medium","Heavy"},0)-1,3))))</f>
        <v/>
      </c>
      <c r="N69" s="60">
        <f>IF('User Input'!$B$29="neutral",1,IF('User Input'!$B$29="essential",IF(ISNUMBER(SEARCH("Outdoor",Profiles!X70)),1,0.3),IF('User Input'!$B$29="nice",IF(ISNUMBER(SEARCH("Outdoor",Profiles!X70)),1,0.65),IF('User Input'!$B$29="indoor",IF(ISNUMBER(SEARCH("Indoor",Profiles!X70)),1,0.4),1))))</f>
        <v/>
      </c>
      <c r="O69" s="60">
        <f>IF('User Input'!$B$30="Yes",1,IF(Profiles!Y70="Yes",0,1))</f>
        <v/>
      </c>
      <c r="P69" s="60">
        <f>IF(IFERROR(MATCH(Profiles!Z70,{"Low","Medium","High"},0),2)&lt;=IFERROR(MATCH('User Input'!$B$31,{"Low","Medium","High"},0),2),1,MAX(0,1-0.4*(IFERROR(MATCH(Profiles!Z70,{"Low","Medium","High"},0),2)-IFERROR(MATCH('User Input'!$B$31,{"Low","Medium","High"},0),2))))</f>
        <v/>
      </c>
      <c r="Q69" s="60">
        <f>IF('User Input'!$B$32="Yes",IF(ISNUMBER(Profiles!AC70),Profiles!AC70/10,0.5),1)</f>
        <v/>
      </c>
      <c r="R69" s="61">
        <f>IF(OR(K69=0,O69=0),0,ROUND(MIN(100,100*(K69*0.1+L69*0.2+M69*0.2+N69*0.1+P69*0.15+Q69*0.25)*W69*X69*Y69*Z69),1))</f>
        <v/>
      </c>
      <c r="S69" s="61">
        <f>IF(R69=0,0,ROUND(0.5*J69+0.5*R69,1))</f>
        <v/>
      </c>
      <c r="T69" s="36">
        <f>J69-ROW()/1000000</f>
        <v/>
      </c>
      <c r="U69" s="36">
        <f>R69-ROW()/1000000</f>
        <v/>
      </c>
      <c r="V69" s="36">
        <f>S69-ROW()/1000000</f>
        <v/>
      </c>
      <c r="W69" s="36">
        <f>IF(OR(AND(OR(Profiles!D70="Team field",Profiles!D70="Team field contact",Profiles!D70="Team field stick"),'User Input'!$B$34="Yes"),AND(OR(Profiles!D70="Team court",Profiles!D70="Team court contact"),'User Input'!$B$35="Yes"),AND(Profiles!D70="Individual racquet",'User Input'!$B$36="Yes"),AND(OR(Profiles!D70="Combat striking",Profiles!D70="Combat grappling",Profiles!D70="Combat mixed"),'User Input'!$B$37="Yes"),AND(OR(Profiles!D70="Team water contact",Profiles!D70="Individual water"),'User Input'!$B$38="Yes"),AND(OR(Profiles!D70="Endurance individual",Profiles!D70="Endurance individual / pair",Profiles!D70="Endurance individual / pursuit",Profiles!D70="Endurance team / pair",Profiles!D70="Endurance multi"),'User Input'!$B$39="Yes"),AND(OR(Profiles!D70="Strength individual",Profiles!D70="Power-throw individual"),'User Input'!$B$40="Yes"),AND(OR(Profiles!D70="Individual technical",Profiles!D70="Individual aesthetic",Profiles!D70="Team precision"),'User Input'!$B$41="Yes")),1.15,1)</f>
        <v/>
      </c>
      <c r="X69" s="36">
        <f>IF('User Input'!$B$33&lt;&gt;"none",1,IF(IFERROR(VALUE(TRIM(MID(SUBSTITUTE(SUBSTITUTE(Profiles!AA70,"–","-"),"-",REPT(" ",100)),100,100)))&lt;=14,FALSE),0.7,1))</f>
        <v/>
      </c>
      <c r="Y69" s="36">
        <f>IF(OR('User Input'!$B$42="under30",'User Input'!$B$42=""),1,IF('User Input'!$B$42="30to45",IF((IFERROR(MATCH(Profiles!W70,{"None","Light","Medium","Heavy"},0)-1,0)+IFERROR(MATCH(Profiles!AB70,{"Low","Medium","High"},0)-1,0))&gt;=5,0.85,1),IF('User Input'!$B$42="46to60",IF((IFERROR(MATCH(Profiles!W70,{"None","Light","Medium","Heavy"},0)-1,0)+IFERROR(MATCH(Profiles!AB70,{"Low","Medium","High"},0)-1,0))&gt;=5,0.65,IF((IFERROR(MATCH(Profiles!W70,{"None","Light","Medium","Heavy"},0)-1,0)+IFERROR(MATCH(Profiles!AB70,{"Low","Medium","High"},0)-1,0))&gt;=4,0.8,IF((IFERROR(MATCH(Profiles!W70,{"None","Light","Medium","Heavy"},0)-1,0)+IFERROR(MATCH(Profiles!AB70,{"Low","Medium","High"},0)-1,0))&gt;=3,0.9,1))),IF((IFERROR(MATCH(Profiles!W70,{"None","Light","Medium","Heavy"},0)-1,0)+IFERROR(MATCH(Profiles!AB70,{"Low","Medium","High"},0)-1,0))&gt;=5,0.4,IF((IFERROR(MATCH(Profiles!W70,{"None","Light","Medium","Heavy"},0)-1,0)+IFERROR(MATCH(Profiles!AB70,{"Low","Medium","High"},0)-1,0))&gt;=4,0.6,IF((IFERROR(MATCH(Profiles!W70,{"None","Light","Medium","Heavy"},0)-1,0)+IFERROR(MATCH(Profiles!AB70,{"Low","Medium","High"},0)-1,0))&gt;=3,0.75,IF((IFERROR(MATCH(Profiles!W70,{"None","Light","Medium","Heavy"},0)-1,0)+IFERROR(MATCH(Profiles!AB70,{"Low","Medium","High"},0)-1,0))&gt;=2,0.85,1)))))))</f>
        <v/>
      </c>
      <c r="Z69" s="36">
        <f>IF(OR('User Input'!$B$43="none",'User Input'!$B$43=""),1,IF('User Input'!$B$43="minor",IF(IFERROR(MATCH(Profiles!W70,{"None","Light","Medium","Heavy"},0)-1,0)&gt;=3,0.7,IF(IFERROR(MATCH(Profiles!W70,{"None","Light","Medium","Heavy"},0)-1,0)&gt;=2,0.85,1)),IF('User Input'!$B$43="joint",IF(OR(IFERROR(MATCH(Profiles!W70,{"None","Light","Medium","Heavy"},0)-1,0)&gt;=3,IFERROR(MATCH(Profiles!AB70,{"Low","Medium","High"},0)-1,0)&gt;=2),0.5,IF(OR(IFERROR(MATCH(Profiles!W70,{"None","Light","Medium","Heavy"},0)-1,0)&gt;=2,IFERROR(MATCH(Profiles!AB70,{"Low","Medium","High"},0)-1,0)&gt;=1),0.75,1)),IF(OR(IFERROR(MATCH(Profiles!W70,{"None","Light","Medium","Heavy"},0)-1,0)&gt;=2,IFERROR(MATCH(Profiles!AB70,{"Low","Medium","High"},0)-1,0)&gt;=2),0.3,IF(OR(IFERROR(MATCH(Profiles!W70,{"None","Light","Medium","Heavy"},0)-1,0)&gt;=1,IFERROR(MATCH(Profiles!AB70,{"Low","Medium","High"},0)-1,0)&gt;=1),0.6,0.9)))))</f>
        <v/>
      </c>
    </row>
    <row r="70" ht="23.25" customHeight="1" s="37">
      <c r="A70" s="59">
        <f>Profiles!A71</f>
        <v/>
      </c>
      <c r="B70" s="59">
        <f>Profiles!B71</f>
        <v/>
      </c>
      <c r="C70" s="59">
        <f>Profiles!C71</f>
        <v/>
      </c>
      <c r="D70" s="59">
        <f>Profiles!D71</f>
        <v/>
      </c>
      <c r="E70" s="60">
        <f>IF(ISNUMBER(Profiles!E71),IF(ISNUMBER(Profiles!F71),MAX(0,1-(MAX(0,ABS('User Input'!$B$9-Profiles!E71)-Profiles!F71))/Profiles!F71/3),MAX(0,1-ABS('User Input'!$B$9-Profiles!E71)/(Profiles!E71*0.1)/3)),0.5)</f>
        <v/>
      </c>
      <c r="F70" s="60">
        <f>IF(ISNUMBER(Profiles!G71),IF(ISNUMBER(Profiles!H71),MAX(0,1-(MAX(0,ABS('User Input'!$B$10-Profiles!G71)-Profiles!H71))/Profiles!H71/3),MAX(0,1-ABS('User Input'!$B$10-Profiles!G71)/(Profiles!G71*0.15)/3)),0.5)</f>
        <v/>
      </c>
      <c r="G70" s="60">
        <f>IF(ISNUMBER(Profiles!J71),MAX(0,1-ABS('User Input'!$B$12-Profiles!J71)/5/3),0.5)</f>
        <v/>
      </c>
      <c r="H70" s="60">
        <f>IF(ISNUMBER(Profiles!K71),MAX(0,1-ABS('User Input'!$B$14-Profiles!K71)/0.03/3),"n/a")</f>
        <v/>
      </c>
      <c r="I70" s="61">
        <f>100*MAX(0,1-(MAX(0,Profiles!M71-'User Input'!$B$17)+0.5*MAX(0,'User Input'!$B$17-Profiles!M71)+MAX(0,Profiles!N71-'User Input'!$B$18)+0.5*MAX(0,'User Input'!$B$18-Profiles!N71)+MAX(0,Profiles!O71-'User Input'!$B$19)+0.5*MAX(0,'User Input'!$B$19-Profiles!O71)+MAX(0,Profiles!P71-'User Input'!$B$20)+0.5*MAX(0,'User Input'!$B$20-Profiles!P71)+MAX(0,Profiles!Q71-'User Input'!$B$21)+0.5*MAX(0,'User Input'!$B$21-Profiles!Q71)+MAX(0,Profiles!S71-'User Input'!$B$22)+0.5*MAX(0,'User Input'!$B$22-Profiles!S71)+MAX(0,Profiles!T71-'User Input'!$B$23)+0.5*MAX(0,'User Input'!$B$23-Profiles!T71)+MAX(0,Profiles!U71-'User Input'!$B$24)+0.5*MAX(0,'User Input'!$B$24-Profiles!U71))/40)</f>
        <v/>
      </c>
      <c r="J70" s="61">
        <f>ROUND(60*(E70+F70+G70+IFERROR(VALUE(H70),(E70+F70+G70)/3))/4 + 0.4*I70,1)</f>
        <v/>
      </c>
      <c r="K70" s="60">
        <f>IF(OR(AND('User Input'!$B$6="M",Profiles!$AG71="M"),AND('User Input'!$B$6="F",Profiles!$AG71="F")),1,0)</f>
        <v/>
      </c>
      <c r="L70" s="60">
        <f>IF('User Input'!$B$27="Either",(IF(Profiles!V71&gt;=4,1,0.3)+IF(OR(Profiles!V71&lt;=2,ISNUMBER(SEARCH("Individual",Profiles!D71))),1,0.3))/2,IF('User Input'!$B$27="Team",IF(Profiles!V71&gt;=4,1,0.3),IF(OR(Profiles!V71&lt;=2,ISNUMBER(SEARCH("Individual",Profiles!D71))),1,0.3)))</f>
        <v/>
      </c>
      <c r="M70" s="60">
        <f>IF(IFERROR(MATCH(Profiles!W71,{"None","Light","Medium","Heavy"},0)-1,0)&lt;=IFERROR(MATCH('User Input'!$B$28,{"None","Light","Medium","Heavy"},0)-1,3),1,MAX(0,1-0.4*(IFERROR(MATCH(Profiles!W71,{"None","Light","Medium","Heavy"},0)-1,0)-IFERROR(MATCH('User Input'!$B$28,{"None","Light","Medium","Heavy"},0)-1,3))))</f>
        <v/>
      </c>
      <c r="N70" s="60">
        <f>IF('User Input'!$B$29="neutral",1,IF('User Input'!$B$29="essential",IF(ISNUMBER(SEARCH("Outdoor",Profiles!X71)),1,0.3),IF('User Input'!$B$29="nice",IF(ISNUMBER(SEARCH("Outdoor",Profiles!X71)),1,0.65),IF('User Input'!$B$29="indoor",IF(ISNUMBER(SEARCH("Indoor",Profiles!X71)),1,0.4),1))))</f>
        <v/>
      </c>
      <c r="O70" s="60">
        <f>IF('User Input'!$B$30="Yes",1,IF(Profiles!Y71="Yes",0,1))</f>
        <v/>
      </c>
      <c r="P70" s="60">
        <f>IF(IFERROR(MATCH(Profiles!Z71,{"Low","Medium","High"},0),2)&lt;=IFERROR(MATCH('User Input'!$B$31,{"Low","Medium","High"},0),2),1,MAX(0,1-0.4*(IFERROR(MATCH(Profiles!Z71,{"Low","Medium","High"},0),2)-IFERROR(MATCH('User Input'!$B$31,{"Low","Medium","High"},0),2))))</f>
        <v/>
      </c>
      <c r="Q70" s="60">
        <f>IF('User Input'!$B$32="Yes",IF(ISNUMBER(Profiles!AC71),Profiles!AC71/10,0.5),1)</f>
        <v/>
      </c>
      <c r="R70" s="61">
        <f>IF(OR(K70=0,O70=0),0,ROUND(MIN(100,100*(K70*0.1+L70*0.2+M70*0.2+N70*0.1+P70*0.15+Q70*0.25)*W70*X70*Y70*Z70),1))</f>
        <v/>
      </c>
      <c r="S70" s="61">
        <f>IF(R70=0,0,ROUND(0.5*J70+0.5*R70,1))</f>
        <v/>
      </c>
      <c r="T70" s="36">
        <f>J70-ROW()/1000000</f>
        <v/>
      </c>
      <c r="U70" s="36">
        <f>R70-ROW()/1000000</f>
        <v/>
      </c>
      <c r="V70" s="36">
        <f>S70-ROW()/1000000</f>
        <v/>
      </c>
      <c r="W70" s="36">
        <f>IF(OR(AND(OR(Profiles!D71="Team field",Profiles!D71="Team field contact",Profiles!D71="Team field stick"),'User Input'!$B$34="Yes"),AND(OR(Profiles!D71="Team court",Profiles!D71="Team court contact"),'User Input'!$B$35="Yes"),AND(Profiles!D71="Individual racquet",'User Input'!$B$36="Yes"),AND(OR(Profiles!D71="Combat striking",Profiles!D71="Combat grappling",Profiles!D71="Combat mixed"),'User Input'!$B$37="Yes"),AND(OR(Profiles!D71="Team water contact",Profiles!D71="Individual water"),'User Input'!$B$38="Yes"),AND(OR(Profiles!D71="Endurance individual",Profiles!D71="Endurance individual / pair",Profiles!D71="Endurance individual / pursuit",Profiles!D71="Endurance team / pair",Profiles!D71="Endurance multi"),'User Input'!$B$39="Yes"),AND(OR(Profiles!D71="Strength individual",Profiles!D71="Power-throw individual"),'User Input'!$B$40="Yes"),AND(OR(Profiles!D71="Individual technical",Profiles!D71="Individual aesthetic",Profiles!D71="Team precision"),'User Input'!$B$41="Yes")),1.15,1)</f>
        <v/>
      </c>
      <c r="X70" s="36">
        <f>IF('User Input'!$B$33&lt;&gt;"none",1,IF(IFERROR(VALUE(TRIM(MID(SUBSTITUTE(SUBSTITUTE(Profiles!AA71,"–","-"),"-",REPT(" ",100)),100,100)))&lt;=14,FALSE),0.7,1))</f>
        <v/>
      </c>
      <c r="Y70" s="36">
        <f>IF(OR('User Input'!$B$42="under30",'User Input'!$B$42=""),1,IF('User Input'!$B$42="30to45",IF((IFERROR(MATCH(Profiles!W71,{"None","Light","Medium","Heavy"},0)-1,0)+IFERROR(MATCH(Profiles!AB71,{"Low","Medium","High"},0)-1,0))&gt;=5,0.85,1),IF('User Input'!$B$42="46to60",IF((IFERROR(MATCH(Profiles!W71,{"None","Light","Medium","Heavy"},0)-1,0)+IFERROR(MATCH(Profiles!AB71,{"Low","Medium","High"},0)-1,0))&gt;=5,0.65,IF((IFERROR(MATCH(Profiles!W71,{"None","Light","Medium","Heavy"},0)-1,0)+IFERROR(MATCH(Profiles!AB71,{"Low","Medium","High"},0)-1,0))&gt;=4,0.8,IF((IFERROR(MATCH(Profiles!W71,{"None","Light","Medium","Heavy"},0)-1,0)+IFERROR(MATCH(Profiles!AB71,{"Low","Medium","High"},0)-1,0))&gt;=3,0.9,1))),IF((IFERROR(MATCH(Profiles!W71,{"None","Light","Medium","Heavy"},0)-1,0)+IFERROR(MATCH(Profiles!AB71,{"Low","Medium","High"},0)-1,0))&gt;=5,0.4,IF((IFERROR(MATCH(Profiles!W71,{"None","Light","Medium","Heavy"},0)-1,0)+IFERROR(MATCH(Profiles!AB71,{"Low","Medium","High"},0)-1,0))&gt;=4,0.6,IF((IFERROR(MATCH(Profiles!W71,{"None","Light","Medium","Heavy"},0)-1,0)+IFERROR(MATCH(Profiles!AB71,{"Low","Medium","High"},0)-1,0))&gt;=3,0.75,IF((IFERROR(MATCH(Profiles!W71,{"None","Light","Medium","Heavy"},0)-1,0)+IFERROR(MATCH(Profiles!AB71,{"Low","Medium","High"},0)-1,0))&gt;=2,0.85,1)))))))</f>
        <v/>
      </c>
      <c r="Z70" s="36">
        <f>IF(OR('User Input'!$B$43="none",'User Input'!$B$43=""),1,IF('User Input'!$B$43="minor",IF(IFERROR(MATCH(Profiles!W71,{"None","Light","Medium","Heavy"},0)-1,0)&gt;=3,0.7,IF(IFERROR(MATCH(Profiles!W71,{"None","Light","Medium","Heavy"},0)-1,0)&gt;=2,0.85,1)),IF('User Input'!$B$43="joint",IF(OR(IFERROR(MATCH(Profiles!W71,{"None","Light","Medium","Heavy"},0)-1,0)&gt;=3,IFERROR(MATCH(Profiles!AB71,{"Low","Medium","High"},0)-1,0)&gt;=2),0.5,IF(OR(IFERROR(MATCH(Profiles!W71,{"None","Light","Medium","Heavy"},0)-1,0)&gt;=2,IFERROR(MATCH(Profiles!AB71,{"Low","Medium","High"},0)-1,0)&gt;=1),0.75,1)),IF(OR(IFERROR(MATCH(Profiles!W71,{"None","Light","Medium","Heavy"},0)-1,0)&gt;=2,IFERROR(MATCH(Profiles!AB71,{"Low","Medium","High"},0)-1,0)&gt;=2),0.3,IF(OR(IFERROR(MATCH(Profiles!W71,{"None","Light","Medium","Heavy"},0)-1,0)&gt;=1,IFERROR(MATCH(Profiles!AB71,{"Low","Medium","High"},0)-1,0)&gt;=1),0.6,0.9)))))</f>
        <v/>
      </c>
    </row>
    <row r="71" ht="23.25" customHeight="1" s="37">
      <c r="A71" s="59">
        <f>Profiles!A72</f>
        <v/>
      </c>
      <c r="B71" s="59">
        <f>Profiles!B72</f>
        <v/>
      </c>
      <c r="C71" s="59">
        <f>Profiles!C72</f>
        <v/>
      </c>
      <c r="D71" s="59">
        <f>Profiles!D72</f>
        <v/>
      </c>
      <c r="E71" s="60">
        <f>IF(ISNUMBER(Profiles!E72),IF(ISNUMBER(Profiles!F72),MAX(0,1-(MAX(0,ABS('User Input'!$B$9-Profiles!E72)-Profiles!F72))/Profiles!F72/3),MAX(0,1-ABS('User Input'!$B$9-Profiles!E72)/(Profiles!E72*0.1)/3)),0.5)</f>
        <v/>
      </c>
      <c r="F71" s="60">
        <f>IF(ISNUMBER(Profiles!G72),IF(ISNUMBER(Profiles!H72),MAX(0,1-(MAX(0,ABS('User Input'!$B$10-Profiles!G72)-Profiles!H72))/Profiles!H72/3),MAX(0,1-ABS('User Input'!$B$10-Profiles!G72)/(Profiles!G72*0.15)/3)),0.5)</f>
        <v/>
      </c>
      <c r="G71" s="60">
        <f>IF(ISNUMBER(Profiles!J72),MAX(0,1-ABS('User Input'!$B$12-Profiles!J72)/5/3),0.5)</f>
        <v/>
      </c>
      <c r="H71" s="60">
        <f>IF(ISNUMBER(Profiles!K72),MAX(0,1-ABS('User Input'!$B$14-Profiles!K72)/0.03/3),"n/a")</f>
        <v/>
      </c>
      <c r="I71" s="61">
        <f>100*MAX(0,1-(MAX(0,Profiles!M72-'User Input'!$B$17)+0.5*MAX(0,'User Input'!$B$17-Profiles!M72)+MAX(0,Profiles!N72-'User Input'!$B$18)+0.5*MAX(0,'User Input'!$B$18-Profiles!N72)+MAX(0,Profiles!O72-'User Input'!$B$19)+0.5*MAX(0,'User Input'!$B$19-Profiles!O72)+MAX(0,Profiles!P72-'User Input'!$B$20)+0.5*MAX(0,'User Input'!$B$20-Profiles!P72)+MAX(0,Profiles!Q72-'User Input'!$B$21)+0.5*MAX(0,'User Input'!$B$21-Profiles!Q72)+MAX(0,Profiles!S72-'User Input'!$B$22)+0.5*MAX(0,'User Input'!$B$22-Profiles!S72)+MAX(0,Profiles!T72-'User Input'!$B$23)+0.5*MAX(0,'User Input'!$B$23-Profiles!T72)+MAX(0,Profiles!U72-'User Input'!$B$24)+0.5*MAX(0,'User Input'!$B$24-Profiles!U72))/40)</f>
        <v/>
      </c>
      <c r="J71" s="61">
        <f>ROUND(60*(E71+F71+G71+IFERROR(VALUE(H71),(E71+F71+G71)/3))/4 + 0.4*I71,1)</f>
        <v/>
      </c>
      <c r="K71" s="60">
        <f>IF(OR(AND('User Input'!$B$6="M",Profiles!$AG72="M"),AND('User Input'!$B$6="F",Profiles!$AG72="F")),1,0)</f>
        <v/>
      </c>
      <c r="L71" s="60">
        <f>IF('User Input'!$B$27="Either",(IF(Profiles!V72&gt;=4,1,0.3)+IF(OR(Profiles!V72&lt;=2,ISNUMBER(SEARCH("Individual",Profiles!D72))),1,0.3))/2,IF('User Input'!$B$27="Team",IF(Profiles!V72&gt;=4,1,0.3),IF(OR(Profiles!V72&lt;=2,ISNUMBER(SEARCH("Individual",Profiles!D72))),1,0.3)))</f>
        <v/>
      </c>
      <c r="M71" s="60">
        <f>IF(IFERROR(MATCH(Profiles!W72,{"None","Light","Medium","Heavy"},0)-1,0)&lt;=IFERROR(MATCH('User Input'!$B$28,{"None","Light","Medium","Heavy"},0)-1,3),1,MAX(0,1-0.4*(IFERROR(MATCH(Profiles!W72,{"None","Light","Medium","Heavy"},0)-1,0)-IFERROR(MATCH('User Input'!$B$28,{"None","Light","Medium","Heavy"},0)-1,3))))</f>
        <v/>
      </c>
      <c r="N71" s="60">
        <f>IF('User Input'!$B$29="neutral",1,IF('User Input'!$B$29="essential",IF(ISNUMBER(SEARCH("Outdoor",Profiles!X72)),1,0.3),IF('User Input'!$B$29="nice",IF(ISNUMBER(SEARCH("Outdoor",Profiles!X72)),1,0.65),IF('User Input'!$B$29="indoor",IF(ISNUMBER(SEARCH("Indoor",Profiles!X72)),1,0.4),1))))</f>
        <v/>
      </c>
      <c r="O71" s="60">
        <f>IF('User Input'!$B$30="Yes",1,IF(Profiles!Y72="Yes",0,1))</f>
        <v/>
      </c>
      <c r="P71" s="60">
        <f>IF(IFERROR(MATCH(Profiles!Z72,{"Low","Medium","High"},0),2)&lt;=IFERROR(MATCH('User Input'!$B$31,{"Low","Medium","High"},0),2),1,MAX(0,1-0.4*(IFERROR(MATCH(Profiles!Z72,{"Low","Medium","High"},0),2)-IFERROR(MATCH('User Input'!$B$31,{"Low","Medium","High"},0),2))))</f>
        <v/>
      </c>
      <c r="Q71" s="60">
        <f>IF('User Input'!$B$32="Yes",IF(ISNUMBER(Profiles!AC72),Profiles!AC72/10,0.5),1)</f>
        <v/>
      </c>
      <c r="R71" s="61">
        <f>IF(OR(K71=0,O71=0),0,ROUND(MIN(100,100*(K71*0.1+L71*0.2+M71*0.2+N71*0.1+P71*0.15+Q71*0.25)*W71*X71*Y71*Z71),1))</f>
        <v/>
      </c>
      <c r="S71" s="61">
        <f>IF(R71=0,0,ROUND(0.5*J71+0.5*R71,1))</f>
        <v/>
      </c>
      <c r="T71" s="36">
        <f>J71-ROW()/1000000</f>
        <v/>
      </c>
      <c r="U71" s="36">
        <f>R71-ROW()/1000000</f>
        <v/>
      </c>
      <c r="V71" s="36">
        <f>S71-ROW()/1000000</f>
        <v/>
      </c>
      <c r="W71" s="36">
        <f>IF(OR(AND(OR(Profiles!D72="Team field",Profiles!D72="Team field contact",Profiles!D72="Team field stick"),'User Input'!$B$34="Yes"),AND(OR(Profiles!D72="Team court",Profiles!D72="Team court contact"),'User Input'!$B$35="Yes"),AND(Profiles!D72="Individual racquet",'User Input'!$B$36="Yes"),AND(OR(Profiles!D72="Combat striking",Profiles!D72="Combat grappling",Profiles!D72="Combat mixed"),'User Input'!$B$37="Yes"),AND(OR(Profiles!D72="Team water contact",Profiles!D72="Individual water"),'User Input'!$B$38="Yes"),AND(OR(Profiles!D72="Endurance individual",Profiles!D72="Endurance individual / pair",Profiles!D72="Endurance individual / pursuit",Profiles!D72="Endurance team / pair",Profiles!D72="Endurance multi"),'User Input'!$B$39="Yes"),AND(OR(Profiles!D72="Strength individual",Profiles!D72="Power-throw individual"),'User Input'!$B$40="Yes"),AND(OR(Profiles!D72="Individual technical",Profiles!D72="Individual aesthetic",Profiles!D72="Team precision"),'User Input'!$B$41="Yes")),1.15,1)</f>
        <v/>
      </c>
      <c r="X71" s="36">
        <f>IF('User Input'!$B$33&lt;&gt;"none",1,IF(IFERROR(VALUE(TRIM(MID(SUBSTITUTE(SUBSTITUTE(Profiles!AA72,"–","-"),"-",REPT(" ",100)),100,100)))&lt;=14,FALSE),0.7,1))</f>
        <v/>
      </c>
      <c r="Y71" s="36">
        <f>IF(OR('User Input'!$B$42="under30",'User Input'!$B$42=""),1,IF('User Input'!$B$42="30to45",IF((IFERROR(MATCH(Profiles!W72,{"None","Light","Medium","Heavy"},0)-1,0)+IFERROR(MATCH(Profiles!AB72,{"Low","Medium","High"},0)-1,0))&gt;=5,0.85,1),IF('User Input'!$B$42="46to60",IF((IFERROR(MATCH(Profiles!W72,{"None","Light","Medium","Heavy"},0)-1,0)+IFERROR(MATCH(Profiles!AB72,{"Low","Medium","High"},0)-1,0))&gt;=5,0.65,IF((IFERROR(MATCH(Profiles!W72,{"None","Light","Medium","Heavy"},0)-1,0)+IFERROR(MATCH(Profiles!AB72,{"Low","Medium","High"},0)-1,0))&gt;=4,0.8,IF((IFERROR(MATCH(Profiles!W72,{"None","Light","Medium","Heavy"},0)-1,0)+IFERROR(MATCH(Profiles!AB72,{"Low","Medium","High"},0)-1,0))&gt;=3,0.9,1))),IF((IFERROR(MATCH(Profiles!W72,{"None","Light","Medium","Heavy"},0)-1,0)+IFERROR(MATCH(Profiles!AB72,{"Low","Medium","High"},0)-1,0))&gt;=5,0.4,IF((IFERROR(MATCH(Profiles!W72,{"None","Light","Medium","Heavy"},0)-1,0)+IFERROR(MATCH(Profiles!AB72,{"Low","Medium","High"},0)-1,0))&gt;=4,0.6,IF((IFERROR(MATCH(Profiles!W72,{"None","Light","Medium","Heavy"},0)-1,0)+IFERROR(MATCH(Profiles!AB72,{"Low","Medium","High"},0)-1,0))&gt;=3,0.75,IF((IFERROR(MATCH(Profiles!W72,{"None","Light","Medium","Heavy"},0)-1,0)+IFERROR(MATCH(Profiles!AB72,{"Low","Medium","High"},0)-1,0))&gt;=2,0.85,1)))))))</f>
        <v/>
      </c>
      <c r="Z71" s="36">
        <f>IF(OR('User Input'!$B$43="none",'User Input'!$B$43=""),1,IF('User Input'!$B$43="minor",IF(IFERROR(MATCH(Profiles!W72,{"None","Light","Medium","Heavy"},0)-1,0)&gt;=3,0.7,IF(IFERROR(MATCH(Profiles!W72,{"None","Light","Medium","Heavy"},0)-1,0)&gt;=2,0.85,1)),IF('User Input'!$B$43="joint",IF(OR(IFERROR(MATCH(Profiles!W72,{"None","Light","Medium","Heavy"},0)-1,0)&gt;=3,IFERROR(MATCH(Profiles!AB72,{"Low","Medium","High"},0)-1,0)&gt;=2),0.5,IF(OR(IFERROR(MATCH(Profiles!W72,{"None","Light","Medium","Heavy"},0)-1,0)&gt;=2,IFERROR(MATCH(Profiles!AB72,{"Low","Medium","High"},0)-1,0)&gt;=1),0.75,1)),IF(OR(IFERROR(MATCH(Profiles!W72,{"None","Light","Medium","Heavy"},0)-1,0)&gt;=2,IFERROR(MATCH(Profiles!AB72,{"Low","Medium","High"},0)-1,0)&gt;=2),0.3,IF(OR(IFERROR(MATCH(Profiles!W72,{"None","Light","Medium","Heavy"},0)-1,0)&gt;=1,IFERROR(MATCH(Profiles!AB72,{"Low","Medium","High"},0)-1,0)&gt;=1),0.6,0.9)))))</f>
        <v/>
      </c>
    </row>
    <row r="72" ht="23.25" customHeight="1" s="37">
      <c r="A72" s="59">
        <f>Profiles!A73</f>
        <v/>
      </c>
      <c r="B72" s="59">
        <f>Profiles!B73</f>
        <v/>
      </c>
      <c r="C72" s="59">
        <f>Profiles!C73</f>
        <v/>
      </c>
      <c r="D72" s="59">
        <f>Profiles!D73</f>
        <v/>
      </c>
      <c r="E72" s="60">
        <f>IF(ISNUMBER(Profiles!E73),IF(ISNUMBER(Profiles!F73),MAX(0,1-(MAX(0,ABS('User Input'!$B$9-Profiles!E73)-Profiles!F73))/Profiles!F73/3),MAX(0,1-ABS('User Input'!$B$9-Profiles!E73)/(Profiles!E73*0.1)/3)),0.5)</f>
        <v/>
      </c>
      <c r="F72" s="60">
        <f>IF(ISNUMBER(Profiles!G73),IF(ISNUMBER(Profiles!H73),MAX(0,1-(MAX(0,ABS('User Input'!$B$10-Profiles!G73)-Profiles!H73))/Profiles!H73/3),MAX(0,1-ABS('User Input'!$B$10-Profiles!G73)/(Profiles!G73*0.15)/3)),0.5)</f>
        <v/>
      </c>
      <c r="G72" s="60">
        <f>IF(ISNUMBER(Profiles!J73),MAX(0,1-ABS('User Input'!$B$12-Profiles!J73)/5/3),0.5)</f>
        <v/>
      </c>
      <c r="H72" s="60">
        <f>IF(ISNUMBER(Profiles!K73),MAX(0,1-ABS('User Input'!$B$14-Profiles!K73)/0.03/3),"n/a")</f>
        <v/>
      </c>
      <c r="I72" s="61">
        <f>100*MAX(0,1-(MAX(0,Profiles!M73-'User Input'!$B$17)+0.5*MAX(0,'User Input'!$B$17-Profiles!M73)+MAX(0,Profiles!N73-'User Input'!$B$18)+0.5*MAX(0,'User Input'!$B$18-Profiles!N73)+MAX(0,Profiles!O73-'User Input'!$B$19)+0.5*MAX(0,'User Input'!$B$19-Profiles!O73)+MAX(0,Profiles!P73-'User Input'!$B$20)+0.5*MAX(0,'User Input'!$B$20-Profiles!P73)+MAX(0,Profiles!Q73-'User Input'!$B$21)+0.5*MAX(0,'User Input'!$B$21-Profiles!Q73)+MAX(0,Profiles!S73-'User Input'!$B$22)+0.5*MAX(0,'User Input'!$B$22-Profiles!S73)+MAX(0,Profiles!T73-'User Input'!$B$23)+0.5*MAX(0,'User Input'!$B$23-Profiles!T73)+MAX(0,Profiles!U73-'User Input'!$B$24)+0.5*MAX(0,'User Input'!$B$24-Profiles!U73))/40)</f>
        <v/>
      </c>
      <c r="J72" s="61">
        <f>ROUND(60*(E72+F72+G72+IFERROR(VALUE(H72),(E72+F72+G72)/3))/4 + 0.4*I72,1)</f>
        <v/>
      </c>
      <c r="K72" s="60">
        <f>IF(OR(AND('User Input'!$B$6="M",Profiles!$AG73="M"),AND('User Input'!$B$6="F",Profiles!$AG73="F")),1,0)</f>
        <v/>
      </c>
      <c r="L72" s="60">
        <f>IF('User Input'!$B$27="Either",(IF(Profiles!V73&gt;=4,1,0.3)+IF(OR(Profiles!V73&lt;=2,ISNUMBER(SEARCH("Individual",Profiles!D73))),1,0.3))/2,IF('User Input'!$B$27="Team",IF(Profiles!V73&gt;=4,1,0.3),IF(OR(Profiles!V73&lt;=2,ISNUMBER(SEARCH("Individual",Profiles!D73))),1,0.3)))</f>
        <v/>
      </c>
      <c r="M72" s="60">
        <f>IF(IFERROR(MATCH(Profiles!W73,{"None","Light","Medium","Heavy"},0)-1,0)&lt;=IFERROR(MATCH('User Input'!$B$28,{"None","Light","Medium","Heavy"},0)-1,3),1,MAX(0,1-0.4*(IFERROR(MATCH(Profiles!W73,{"None","Light","Medium","Heavy"},0)-1,0)-IFERROR(MATCH('User Input'!$B$28,{"None","Light","Medium","Heavy"},0)-1,3))))</f>
        <v/>
      </c>
      <c r="N72" s="60">
        <f>IF('User Input'!$B$29="neutral",1,IF('User Input'!$B$29="essential",IF(ISNUMBER(SEARCH("Outdoor",Profiles!X73)),1,0.3),IF('User Input'!$B$29="nice",IF(ISNUMBER(SEARCH("Outdoor",Profiles!X73)),1,0.65),IF('User Input'!$B$29="indoor",IF(ISNUMBER(SEARCH("Indoor",Profiles!X73)),1,0.4),1))))</f>
        <v/>
      </c>
      <c r="O72" s="60">
        <f>IF('User Input'!$B$30="Yes",1,IF(Profiles!Y73="Yes",0,1))</f>
        <v/>
      </c>
      <c r="P72" s="60">
        <f>IF(IFERROR(MATCH(Profiles!Z73,{"Low","Medium","High"},0),2)&lt;=IFERROR(MATCH('User Input'!$B$31,{"Low","Medium","High"},0),2),1,MAX(0,1-0.4*(IFERROR(MATCH(Profiles!Z73,{"Low","Medium","High"},0),2)-IFERROR(MATCH('User Input'!$B$31,{"Low","Medium","High"},0),2))))</f>
        <v/>
      </c>
      <c r="Q72" s="60">
        <f>IF('User Input'!$B$32="Yes",IF(ISNUMBER(Profiles!AC73),Profiles!AC73/10,0.5),1)</f>
        <v/>
      </c>
      <c r="R72" s="61">
        <f>IF(OR(K72=0,O72=0),0,ROUND(MIN(100,100*(K72*0.1+L72*0.2+M72*0.2+N72*0.1+P72*0.15+Q72*0.25)*W72*X72*Y72*Z72),1))</f>
        <v/>
      </c>
      <c r="S72" s="61">
        <f>IF(R72=0,0,ROUND(0.5*J72+0.5*R72,1))</f>
        <v/>
      </c>
      <c r="T72" s="36">
        <f>J72-ROW()/1000000</f>
        <v/>
      </c>
      <c r="U72" s="36">
        <f>R72-ROW()/1000000</f>
        <v/>
      </c>
      <c r="V72" s="36">
        <f>S72-ROW()/1000000</f>
        <v/>
      </c>
      <c r="W72" s="36">
        <f>IF(OR(AND(OR(Profiles!D73="Team field",Profiles!D73="Team field contact",Profiles!D73="Team field stick"),'User Input'!$B$34="Yes"),AND(OR(Profiles!D73="Team court",Profiles!D73="Team court contact"),'User Input'!$B$35="Yes"),AND(Profiles!D73="Individual racquet",'User Input'!$B$36="Yes"),AND(OR(Profiles!D73="Combat striking",Profiles!D73="Combat grappling",Profiles!D73="Combat mixed"),'User Input'!$B$37="Yes"),AND(OR(Profiles!D73="Team water contact",Profiles!D73="Individual water"),'User Input'!$B$38="Yes"),AND(OR(Profiles!D73="Endurance individual",Profiles!D73="Endurance individual / pair",Profiles!D73="Endurance individual / pursuit",Profiles!D73="Endurance team / pair",Profiles!D73="Endurance multi"),'User Input'!$B$39="Yes"),AND(OR(Profiles!D73="Strength individual",Profiles!D73="Power-throw individual"),'User Input'!$B$40="Yes"),AND(OR(Profiles!D73="Individual technical",Profiles!D73="Individual aesthetic",Profiles!D73="Team precision"),'User Input'!$B$41="Yes")),1.15,1)</f>
        <v/>
      </c>
      <c r="X72" s="36">
        <f>IF('User Input'!$B$33&lt;&gt;"none",1,IF(IFERROR(VALUE(TRIM(MID(SUBSTITUTE(SUBSTITUTE(Profiles!AA73,"–","-"),"-",REPT(" ",100)),100,100)))&lt;=14,FALSE),0.7,1))</f>
        <v/>
      </c>
      <c r="Y72" s="36">
        <f>IF(OR('User Input'!$B$42="under30",'User Input'!$B$42=""),1,IF('User Input'!$B$42="30to45",IF((IFERROR(MATCH(Profiles!W73,{"None","Light","Medium","Heavy"},0)-1,0)+IFERROR(MATCH(Profiles!AB73,{"Low","Medium","High"},0)-1,0))&gt;=5,0.85,1),IF('User Input'!$B$42="46to60",IF((IFERROR(MATCH(Profiles!W73,{"None","Light","Medium","Heavy"},0)-1,0)+IFERROR(MATCH(Profiles!AB73,{"Low","Medium","High"},0)-1,0))&gt;=5,0.65,IF((IFERROR(MATCH(Profiles!W73,{"None","Light","Medium","Heavy"},0)-1,0)+IFERROR(MATCH(Profiles!AB73,{"Low","Medium","High"},0)-1,0))&gt;=4,0.8,IF((IFERROR(MATCH(Profiles!W73,{"None","Light","Medium","Heavy"},0)-1,0)+IFERROR(MATCH(Profiles!AB73,{"Low","Medium","High"},0)-1,0))&gt;=3,0.9,1))),IF((IFERROR(MATCH(Profiles!W73,{"None","Light","Medium","Heavy"},0)-1,0)+IFERROR(MATCH(Profiles!AB73,{"Low","Medium","High"},0)-1,0))&gt;=5,0.4,IF((IFERROR(MATCH(Profiles!W73,{"None","Light","Medium","Heavy"},0)-1,0)+IFERROR(MATCH(Profiles!AB73,{"Low","Medium","High"},0)-1,0))&gt;=4,0.6,IF((IFERROR(MATCH(Profiles!W73,{"None","Light","Medium","Heavy"},0)-1,0)+IFERROR(MATCH(Profiles!AB73,{"Low","Medium","High"},0)-1,0))&gt;=3,0.75,IF((IFERROR(MATCH(Profiles!W73,{"None","Light","Medium","Heavy"},0)-1,0)+IFERROR(MATCH(Profiles!AB73,{"Low","Medium","High"},0)-1,0))&gt;=2,0.85,1)))))))</f>
        <v/>
      </c>
      <c r="Z72" s="36">
        <f>IF(OR('User Input'!$B$43="none",'User Input'!$B$43=""),1,IF('User Input'!$B$43="minor",IF(IFERROR(MATCH(Profiles!W73,{"None","Light","Medium","Heavy"},0)-1,0)&gt;=3,0.7,IF(IFERROR(MATCH(Profiles!W73,{"None","Light","Medium","Heavy"},0)-1,0)&gt;=2,0.85,1)),IF('User Input'!$B$43="joint",IF(OR(IFERROR(MATCH(Profiles!W73,{"None","Light","Medium","Heavy"},0)-1,0)&gt;=3,IFERROR(MATCH(Profiles!AB73,{"Low","Medium","High"},0)-1,0)&gt;=2),0.5,IF(OR(IFERROR(MATCH(Profiles!W73,{"None","Light","Medium","Heavy"},0)-1,0)&gt;=2,IFERROR(MATCH(Profiles!AB73,{"Low","Medium","High"},0)-1,0)&gt;=1),0.75,1)),IF(OR(IFERROR(MATCH(Profiles!W73,{"None","Light","Medium","Heavy"},0)-1,0)&gt;=2,IFERROR(MATCH(Profiles!AB73,{"Low","Medium","High"},0)-1,0)&gt;=2),0.3,IF(OR(IFERROR(MATCH(Profiles!W73,{"None","Light","Medium","Heavy"},0)-1,0)&gt;=1,IFERROR(MATCH(Profiles!AB73,{"Low","Medium","High"},0)-1,0)&gt;=1),0.6,0.9)))))</f>
        <v/>
      </c>
    </row>
    <row r="73" ht="15" customHeight="1" s="37">
      <c r="A73" s="59">
        <f>Profiles!A74</f>
        <v/>
      </c>
      <c r="B73" s="59">
        <f>Profiles!B74</f>
        <v/>
      </c>
      <c r="C73" s="59">
        <f>Profiles!C74</f>
        <v/>
      </c>
      <c r="D73" s="59">
        <f>Profiles!D74</f>
        <v/>
      </c>
      <c r="E73" s="60">
        <f>IF(ISNUMBER(Profiles!E74),IF(ISNUMBER(Profiles!F74),MAX(0,1-(MAX(0,ABS('User Input'!$B$9-Profiles!E74)-Profiles!F74))/Profiles!F74/3),MAX(0,1-ABS('User Input'!$B$9-Profiles!E74)/(Profiles!E74*0.1)/3)),0.5)</f>
        <v/>
      </c>
      <c r="F73" s="60">
        <f>IF(ISNUMBER(Profiles!G74),IF(ISNUMBER(Profiles!H74),MAX(0,1-(MAX(0,ABS('User Input'!$B$10-Profiles!G74)-Profiles!H74))/Profiles!H74/3),MAX(0,1-ABS('User Input'!$B$10-Profiles!G74)/(Profiles!G74*0.15)/3)),0.5)</f>
        <v/>
      </c>
      <c r="G73" s="60">
        <f>IF(ISNUMBER(Profiles!J74),MAX(0,1-ABS('User Input'!$B$12-Profiles!J74)/5/3),0.5)</f>
        <v/>
      </c>
      <c r="H73" s="60">
        <f>IF(ISNUMBER(Profiles!K74),MAX(0,1-ABS('User Input'!$B$14-Profiles!K74)/0.03/3),"n/a")</f>
        <v/>
      </c>
      <c r="I73" s="61">
        <f>100*MAX(0,1-(MAX(0,Profiles!M74-'User Input'!$B$17)+0.5*MAX(0,'User Input'!$B$17-Profiles!M74)+MAX(0,Profiles!N74-'User Input'!$B$18)+0.5*MAX(0,'User Input'!$B$18-Profiles!N74)+MAX(0,Profiles!O74-'User Input'!$B$19)+0.5*MAX(0,'User Input'!$B$19-Profiles!O74)+MAX(0,Profiles!P74-'User Input'!$B$20)+0.5*MAX(0,'User Input'!$B$20-Profiles!P74)+MAX(0,Profiles!Q74-'User Input'!$B$21)+0.5*MAX(0,'User Input'!$B$21-Profiles!Q74)+MAX(0,Profiles!S74-'User Input'!$B$22)+0.5*MAX(0,'User Input'!$B$22-Profiles!S74)+MAX(0,Profiles!T74-'User Input'!$B$23)+0.5*MAX(0,'User Input'!$B$23-Profiles!T74)+MAX(0,Profiles!U74-'User Input'!$B$24)+0.5*MAX(0,'User Input'!$B$24-Profiles!U74))/40)</f>
        <v/>
      </c>
      <c r="J73" s="61">
        <f>ROUND(60*(E73+F73+G73+IFERROR(VALUE(H73),(E73+F73+G73)/3))/4 + 0.4*I73,1)</f>
        <v/>
      </c>
      <c r="K73" s="60">
        <f>IF(OR(AND('User Input'!$B$6="M",Profiles!$AG74="M"),AND('User Input'!$B$6="F",Profiles!$AG74="F")),1,0)</f>
        <v/>
      </c>
      <c r="L73" s="60">
        <f>IF('User Input'!$B$27="Either",(IF(Profiles!V74&gt;=4,1,0.3)+IF(OR(Profiles!V74&lt;=2,ISNUMBER(SEARCH("Individual",Profiles!D74))),1,0.3))/2,IF('User Input'!$B$27="Team",IF(Profiles!V74&gt;=4,1,0.3),IF(OR(Profiles!V74&lt;=2,ISNUMBER(SEARCH("Individual",Profiles!D74))),1,0.3)))</f>
        <v/>
      </c>
      <c r="M73" s="60">
        <f>IF(IFERROR(MATCH(Profiles!W74,{"None","Light","Medium","Heavy"},0)-1,0)&lt;=IFERROR(MATCH('User Input'!$B$28,{"None","Light","Medium","Heavy"},0)-1,3),1,MAX(0,1-0.4*(IFERROR(MATCH(Profiles!W74,{"None","Light","Medium","Heavy"},0)-1,0)-IFERROR(MATCH('User Input'!$B$28,{"None","Light","Medium","Heavy"},0)-1,3))))</f>
        <v/>
      </c>
      <c r="N73" s="60">
        <f>IF('User Input'!$B$29="neutral",1,IF('User Input'!$B$29="essential",IF(ISNUMBER(SEARCH("Outdoor",Profiles!X74)),1,0.3),IF('User Input'!$B$29="nice",IF(ISNUMBER(SEARCH("Outdoor",Profiles!X74)),1,0.65),IF('User Input'!$B$29="indoor",IF(ISNUMBER(SEARCH("Indoor",Profiles!X74)),1,0.4),1))))</f>
        <v/>
      </c>
      <c r="O73" s="60">
        <f>IF('User Input'!$B$30="Yes",1,IF(Profiles!Y74="Yes",0,1))</f>
        <v/>
      </c>
      <c r="P73" s="60">
        <f>IF(IFERROR(MATCH(Profiles!Z74,{"Low","Medium","High"},0),2)&lt;=IFERROR(MATCH('User Input'!$B$31,{"Low","Medium","High"},0),2),1,MAX(0,1-0.4*(IFERROR(MATCH(Profiles!Z74,{"Low","Medium","High"},0),2)-IFERROR(MATCH('User Input'!$B$31,{"Low","Medium","High"},0),2))))</f>
        <v/>
      </c>
      <c r="Q73" s="60">
        <f>IF('User Input'!$B$32="Yes",IF(ISNUMBER(Profiles!AC74),Profiles!AC74/10,0.5),1)</f>
        <v/>
      </c>
      <c r="R73" s="61">
        <f>IF(OR(K73=0,O73=0),0,ROUND(MIN(100,100*(K73*0.1+L73*0.2+M73*0.2+N73*0.1+P73*0.15+Q73*0.25)*W73*X73*Y73*Z73),1))</f>
        <v/>
      </c>
      <c r="S73" s="61">
        <f>IF(R73=0,0,ROUND(0.5*J73+0.5*R73,1))</f>
        <v/>
      </c>
      <c r="T73" s="36">
        <f>J73-ROW()/1000000</f>
        <v/>
      </c>
      <c r="U73" s="36">
        <f>R73-ROW()/1000000</f>
        <v/>
      </c>
      <c r="V73" s="36">
        <f>S73-ROW()/1000000</f>
        <v/>
      </c>
      <c r="W73" s="36">
        <f>IF(OR(AND(OR(Profiles!D74="Team field",Profiles!D74="Team field contact",Profiles!D74="Team field stick"),'User Input'!$B$34="Yes"),AND(OR(Profiles!D74="Team court",Profiles!D74="Team court contact"),'User Input'!$B$35="Yes"),AND(Profiles!D74="Individual racquet",'User Input'!$B$36="Yes"),AND(OR(Profiles!D74="Combat striking",Profiles!D74="Combat grappling",Profiles!D74="Combat mixed"),'User Input'!$B$37="Yes"),AND(OR(Profiles!D74="Team water contact",Profiles!D74="Individual water"),'User Input'!$B$38="Yes"),AND(OR(Profiles!D74="Endurance individual",Profiles!D74="Endurance individual / pair",Profiles!D74="Endurance individual / pursuit",Profiles!D74="Endurance team / pair",Profiles!D74="Endurance multi"),'User Input'!$B$39="Yes"),AND(OR(Profiles!D74="Strength individual",Profiles!D74="Power-throw individual"),'User Input'!$B$40="Yes"),AND(OR(Profiles!D74="Individual technical",Profiles!D74="Individual aesthetic",Profiles!D74="Team precision"),'User Input'!$B$41="Yes")),1.15,1)</f>
        <v/>
      </c>
      <c r="X73" s="36">
        <f>IF('User Input'!$B$33&lt;&gt;"none",1,IF(IFERROR(VALUE(TRIM(MID(SUBSTITUTE(SUBSTITUTE(Profiles!AA74,"–","-"),"-",REPT(" ",100)),100,100)))&lt;=14,FALSE),0.7,1))</f>
        <v/>
      </c>
      <c r="Y73" s="36">
        <f>IF(OR('User Input'!$B$42="under30",'User Input'!$B$42=""),1,IF('User Input'!$B$42="30to45",IF((IFERROR(MATCH(Profiles!W74,{"None","Light","Medium","Heavy"},0)-1,0)+IFERROR(MATCH(Profiles!AB74,{"Low","Medium","High"},0)-1,0))&gt;=5,0.85,1),IF('User Input'!$B$42="46to60",IF((IFERROR(MATCH(Profiles!W74,{"None","Light","Medium","Heavy"},0)-1,0)+IFERROR(MATCH(Profiles!AB74,{"Low","Medium","High"},0)-1,0))&gt;=5,0.65,IF((IFERROR(MATCH(Profiles!W74,{"None","Light","Medium","Heavy"},0)-1,0)+IFERROR(MATCH(Profiles!AB74,{"Low","Medium","High"},0)-1,0))&gt;=4,0.8,IF((IFERROR(MATCH(Profiles!W74,{"None","Light","Medium","Heavy"},0)-1,0)+IFERROR(MATCH(Profiles!AB74,{"Low","Medium","High"},0)-1,0))&gt;=3,0.9,1))),IF((IFERROR(MATCH(Profiles!W74,{"None","Light","Medium","Heavy"},0)-1,0)+IFERROR(MATCH(Profiles!AB74,{"Low","Medium","High"},0)-1,0))&gt;=5,0.4,IF((IFERROR(MATCH(Profiles!W74,{"None","Light","Medium","Heavy"},0)-1,0)+IFERROR(MATCH(Profiles!AB74,{"Low","Medium","High"},0)-1,0))&gt;=4,0.6,IF((IFERROR(MATCH(Profiles!W74,{"None","Light","Medium","Heavy"},0)-1,0)+IFERROR(MATCH(Profiles!AB74,{"Low","Medium","High"},0)-1,0))&gt;=3,0.75,IF((IFERROR(MATCH(Profiles!W74,{"None","Light","Medium","Heavy"},0)-1,0)+IFERROR(MATCH(Profiles!AB74,{"Low","Medium","High"},0)-1,0))&gt;=2,0.85,1)))))))</f>
        <v/>
      </c>
      <c r="Z73" s="36">
        <f>IF(OR('User Input'!$B$43="none",'User Input'!$B$43=""),1,IF('User Input'!$B$43="minor",IF(IFERROR(MATCH(Profiles!W74,{"None","Light","Medium","Heavy"},0)-1,0)&gt;=3,0.7,IF(IFERROR(MATCH(Profiles!W74,{"None","Light","Medium","Heavy"},0)-1,0)&gt;=2,0.85,1)),IF('User Input'!$B$43="joint",IF(OR(IFERROR(MATCH(Profiles!W74,{"None","Light","Medium","Heavy"},0)-1,0)&gt;=3,IFERROR(MATCH(Profiles!AB74,{"Low","Medium","High"},0)-1,0)&gt;=2),0.5,IF(OR(IFERROR(MATCH(Profiles!W74,{"None","Light","Medium","Heavy"},0)-1,0)&gt;=2,IFERROR(MATCH(Profiles!AB74,{"Low","Medium","High"},0)-1,0)&gt;=1),0.75,1)),IF(OR(IFERROR(MATCH(Profiles!W74,{"None","Light","Medium","Heavy"},0)-1,0)&gt;=2,IFERROR(MATCH(Profiles!AB74,{"Low","Medium","High"},0)-1,0)&gt;=2),0.3,IF(OR(IFERROR(MATCH(Profiles!W74,{"None","Light","Medium","Heavy"},0)-1,0)&gt;=1,IFERROR(MATCH(Profiles!AB74,{"Low","Medium","High"},0)-1,0)&gt;=1),0.6,0.9)))))</f>
        <v/>
      </c>
    </row>
    <row r="74" ht="15" customHeight="1" s="37">
      <c r="A74" s="59">
        <f>Profiles!A75</f>
        <v/>
      </c>
      <c r="B74" s="59">
        <f>Profiles!B75</f>
        <v/>
      </c>
      <c r="C74" s="59">
        <f>Profiles!C75</f>
        <v/>
      </c>
      <c r="D74" s="59">
        <f>Profiles!D75</f>
        <v/>
      </c>
      <c r="E74" s="60">
        <f>IF(ISNUMBER(Profiles!E75),IF(ISNUMBER(Profiles!F75),MAX(0,1-(MAX(0,ABS('User Input'!$B$9-Profiles!E75)-Profiles!F75))/Profiles!F75/3),MAX(0,1-ABS('User Input'!$B$9-Profiles!E75)/(Profiles!E75*0.1)/3)),0.5)</f>
        <v/>
      </c>
      <c r="F74" s="60">
        <f>IF(ISNUMBER(Profiles!G75),IF(ISNUMBER(Profiles!H75),MAX(0,1-(MAX(0,ABS('User Input'!$B$10-Profiles!G75)-Profiles!H75))/Profiles!H75/3),MAX(0,1-ABS('User Input'!$B$10-Profiles!G75)/(Profiles!G75*0.15)/3)),0.5)</f>
        <v/>
      </c>
      <c r="G74" s="60">
        <f>IF(ISNUMBER(Profiles!J75),MAX(0,1-ABS('User Input'!$B$12-Profiles!J75)/5/3),0.5)</f>
        <v/>
      </c>
      <c r="H74" s="60">
        <f>IF(ISNUMBER(Profiles!K75),MAX(0,1-ABS('User Input'!$B$14-Profiles!K75)/0.03/3),"n/a")</f>
        <v/>
      </c>
      <c r="I74" s="61">
        <f>100*MAX(0,1-(MAX(0,Profiles!M75-'User Input'!$B$17)+0.5*MAX(0,'User Input'!$B$17-Profiles!M75)+MAX(0,Profiles!N75-'User Input'!$B$18)+0.5*MAX(0,'User Input'!$B$18-Profiles!N75)+MAX(0,Profiles!O75-'User Input'!$B$19)+0.5*MAX(0,'User Input'!$B$19-Profiles!O75)+MAX(0,Profiles!P75-'User Input'!$B$20)+0.5*MAX(0,'User Input'!$B$20-Profiles!P75)+MAX(0,Profiles!Q75-'User Input'!$B$21)+0.5*MAX(0,'User Input'!$B$21-Profiles!Q75)+MAX(0,Profiles!S75-'User Input'!$B$22)+0.5*MAX(0,'User Input'!$B$22-Profiles!S75)+MAX(0,Profiles!T75-'User Input'!$B$23)+0.5*MAX(0,'User Input'!$B$23-Profiles!T75)+MAX(0,Profiles!U75-'User Input'!$B$24)+0.5*MAX(0,'User Input'!$B$24-Profiles!U75))/40)</f>
        <v/>
      </c>
      <c r="J74" s="61">
        <f>ROUND(60*(E74+F74+G74+IFERROR(VALUE(H74),(E74+F74+G74)/3))/4 + 0.4*I74,1)</f>
        <v/>
      </c>
      <c r="K74" s="60">
        <f>IF(OR(AND('User Input'!$B$6="M",Profiles!$AG75="M"),AND('User Input'!$B$6="F",Profiles!$AG75="F")),1,0)</f>
        <v/>
      </c>
      <c r="L74" s="60">
        <f>IF('User Input'!$B$27="Either",(IF(Profiles!V75&gt;=4,1,0.3)+IF(OR(Profiles!V75&lt;=2,ISNUMBER(SEARCH("Individual",Profiles!D75))),1,0.3))/2,IF('User Input'!$B$27="Team",IF(Profiles!V75&gt;=4,1,0.3),IF(OR(Profiles!V75&lt;=2,ISNUMBER(SEARCH("Individual",Profiles!D75))),1,0.3)))</f>
        <v/>
      </c>
      <c r="M74" s="60">
        <f>IF(IFERROR(MATCH(Profiles!W75,{"None","Light","Medium","Heavy"},0)-1,0)&lt;=IFERROR(MATCH('User Input'!$B$28,{"None","Light","Medium","Heavy"},0)-1,3),1,MAX(0,1-0.4*(IFERROR(MATCH(Profiles!W75,{"None","Light","Medium","Heavy"},0)-1,0)-IFERROR(MATCH('User Input'!$B$28,{"None","Light","Medium","Heavy"},0)-1,3))))</f>
        <v/>
      </c>
      <c r="N74" s="60">
        <f>IF('User Input'!$B$29="neutral",1,IF('User Input'!$B$29="essential",IF(ISNUMBER(SEARCH("Outdoor",Profiles!X75)),1,0.3),IF('User Input'!$B$29="nice",IF(ISNUMBER(SEARCH("Outdoor",Profiles!X75)),1,0.65),IF('User Input'!$B$29="indoor",IF(ISNUMBER(SEARCH("Indoor",Profiles!X75)),1,0.4),1))))</f>
        <v/>
      </c>
      <c r="O74" s="60">
        <f>IF('User Input'!$B$30="Yes",1,IF(Profiles!Y75="Yes",0,1))</f>
        <v/>
      </c>
      <c r="P74" s="60">
        <f>IF(IFERROR(MATCH(Profiles!Z75,{"Low","Medium","High"},0),2)&lt;=IFERROR(MATCH('User Input'!$B$31,{"Low","Medium","High"},0),2),1,MAX(0,1-0.4*(IFERROR(MATCH(Profiles!Z75,{"Low","Medium","High"},0),2)-IFERROR(MATCH('User Input'!$B$31,{"Low","Medium","High"},0),2))))</f>
        <v/>
      </c>
      <c r="Q74" s="60">
        <f>IF('User Input'!$B$32="Yes",IF(ISNUMBER(Profiles!AC75),Profiles!AC75/10,0.5),1)</f>
        <v/>
      </c>
      <c r="R74" s="61">
        <f>IF(OR(K74=0,O74=0),0,ROUND(MIN(100,100*(K74*0.1+L74*0.2+M74*0.2+N74*0.1+P74*0.15+Q74*0.25)*W74*X74*Y74*Z74),1))</f>
        <v/>
      </c>
      <c r="S74" s="61">
        <f>IF(R74=0,0,ROUND(0.5*J74+0.5*R74,1))</f>
        <v/>
      </c>
      <c r="T74" s="36">
        <f>J74-ROW()/1000000</f>
        <v/>
      </c>
      <c r="U74" s="36">
        <f>R74-ROW()/1000000</f>
        <v/>
      </c>
      <c r="V74" s="36">
        <f>S74-ROW()/1000000</f>
        <v/>
      </c>
      <c r="W74" s="36">
        <f>IF(OR(AND(OR(Profiles!D75="Team field",Profiles!D75="Team field contact",Profiles!D75="Team field stick"),'User Input'!$B$34="Yes"),AND(OR(Profiles!D75="Team court",Profiles!D75="Team court contact"),'User Input'!$B$35="Yes"),AND(Profiles!D75="Individual racquet",'User Input'!$B$36="Yes"),AND(OR(Profiles!D75="Combat striking",Profiles!D75="Combat grappling",Profiles!D75="Combat mixed"),'User Input'!$B$37="Yes"),AND(OR(Profiles!D75="Team water contact",Profiles!D75="Individual water"),'User Input'!$B$38="Yes"),AND(OR(Profiles!D75="Endurance individual",Profiles!D75="Endurance individual / pair",Profiles!D75="Endurance individual / pursuit",Profiles!D75="Endurance team / pair",Profiles!D75="Endurance multi"),'User Input'!$B$39="Yes"),AND(OR(Profiles!D75="Strength individual",Profiles!D75="Power-throw individual"),'User Input'!$B$40="Yes"),AND(OR(Profiles!D75="Individual technical",Profiles!D75="Individual aesthetic",Profiles!D75="Team precision"),'User Input'!$B$41="Yes")),1.15,1)</f>
        <v/>
      </c>
      <c r="X74" s="36">
        <f>IF('User Input'!$B$33&lt;&gt;"none",1,IF(IFERROR(VALUE(TRIM(MID(SUBSTITUTE(SUBSTITUTE(Profiles!AA75,"–","-"),"-",REPT(" ",100)),100,100)))&lt;=14,FALSE),0.7,1))</f>
        <v/>
      </c>
      <c r="Y74" s="36">
        <f>IF(OR('User Input'!$B$42="under30",'User Input'!$B$42=""),1,IF('User Input'!$B$42="30to45",IF((IFERROR(MATCH(Profiles!W75,{"None","Light","Medium","Heavy"},0)-1,0)+IFERROR(MATCH(Profiles!AB75,{"Low","Medium","High"},0)-1,0))&gt;=5,0.85,1),IF('User Input'!$B$42="46to60",IF((IFERROR(MATCH(Profiles!W75,{"None","Light","Medium","Heavy"},0)-1,0)+IFERROR(MATCH(Profiles!AB75,{"Low","Medium","High"},0)-1,0))&gt;=5,0.65,IF((IFERROR(MATCH(Profiles!W75,{"None","Light","Medium","Heavy"},0)-1,0)+IFERROR(MATCH(Profiles!AB75,{"Low","Medium","High"},0)-1,0))&gt;=4,0.8,IF((IFERROR(MATCH(Profiles!W75,{"None","Light","Medium","Heavy"},0)-1,0)+IFERROR(MATCH(Profiles!AB75,{"Low","Medium","High"},0)-1,0))&gt;=3,0.9,1))),IF((IFERROR(MATCH(Profiles!W75,{"None","Light","Medium","Heavy"},0)-1,0)+IFERROR(MATCH(Profiles!AB75,{"Low","Medium","High"},0)-1,0))&gt;=5,0.4,IF((IFERROR(MATCH(Profiles!W75,{"None","Light","Medium","Heavy"},0)-1,0)+IFERROR(MATCH(Profiles!AB75,{"Low","Medium","High"},0)-1,0))&gt;=4,0.6,IF((IFERROR(MATCH(Profiles!W75,{"None","Light","Medium","Heavy"},0)-1,0)+IFERROR(MATCH(Profiles!AB75,{"Low","Medium","High"},0)-1,0))&gt;=3,0.75,IF((IFERROR(MATCH(Profiles!W75,{"None","Light","Medium","Heavy"},0)-1,0)+IFERROR(MATCH(Profiles!AB75,{"Low","Medium","High"},0)-1,0))&gt;=2,0.85,1)))))))</f>
        <v/>
      </c>
      <c r="Z74" s="36">
        <f>IF(OR('User Input'!$B$43="none",'User Input'!$B$43=""),1,IF('User Input'!$B$43="minor",IF(IFERROR(MATCH(Profiles!W75,{"None","Light","Medium","Heavy"},0)-1,0)&gt;=3,0.7,IF(IFERROR(MATCH(Profiles!W75,{"None","Light","Medium","Heavy"},0)-1,0)&gt;=2,0.85,1)),IF('User Input'!$B$43="joint",IF(OR(IFERROR(MATCH(Profiles!W75,{"None","Light","Medium","Heavy"},0)-1,0)&gt;=3,IFERROR(MATCH(Profiles!AB75,{"Low","Medium","High"},0)-1,0)&gt;=2),0.5,IF(OR(IFERROR(MATCH(Profiles!W75,{"None","Light","Medium","Heavy"},0)-1,0)&gt;=2,IFERROR(MATCH(Profiles!AB75,{"Low","Medium","High"},0)-1,0)&gt;=1),0.75,1)),IF(OR(IFERROR(MATCH(Profiles!W75,{"None","Light","Medium","Heavy"},0)-1,0)&gt;=2,IFERROR(MATCH(Profiles!AB75,{"Low","Medium","High"},0)-1,0)&gt;=2),0.3,IF(OR(IFERROR(MATCH(Profiles!W75,{"None","Light","Medium","Heavy"},0)-1,0)&gt;=1,IFERROR(MATCH(Profiles!AB75,{"Low","Medium","High"},0)-1,0)&gt;=1),0.6,0.9)))))</f>
        <v/>
      </c>
    </row>
    <row r="75" ht="23.25" customHeight="1" s="37">
      <c r="A75" s="59">
        <f>Profiles!A76</f>
        <v/>
      </c>
      <c r="B75" s="59">
        <f>Profiles!B76</f>
        <v/>
      </c>
      <c r="C75" s="59">
        <f>Profiles!C76</f>
        <v/>
      </c>
      <c r="D75" s="59">
        <f>Profiles!D76</f>
        <v/>
      </c>
      <c r="E75" s="60">
        <f>IF(ISNUMBER(Profiles!E76),IF(ISNUMBER(Profiles!F76),MAX(0,1-(MAX(0,ABS('User Input'!$B$9-Profiles!E76)-Profiles!F76))/Profiles!F76/3),MAX(0,1-ABS('User Input'!$B$9-Profiles!E76)/(Profiles!E76*0.1)/3)),0.5)</f>
        <v/>
      </c>
      <c r="F75" s="60">
        <f>IF(ISNUMBER(Profiles!G76),IF(ISNUMBER(Profiles!H76),MAX(0,1-(MAX(0,ABS('User Input'!$B$10-Profiles!G76)-Profiles!H76))/Profiles!H76/3),MAX(0,1-ABS('User Input'!$B$10-Profiles!G76)/(Profiles!G76*0.15)/3)),0.5)</f>
        <v/>
      </c>
      <c r="G75" s="60">
        <f>IF(ISNUMBER(Profiles!J76),MAX(0,1-ABS('User Input'!$B$12-Profiles!J76)/5/3),0.5)</f>
        <v/>
      </c>
      <c r="H75" s="60">
        <f>IF(ISNUMBER(Profiles!K76),MAX(0,1-ABS('User Input'!$B$14-Profiles!K76)/0.03/3),"n/a")</f>
        <v/>
      </c>
      <c r="I75" s="61">
        <f>100*MAX(0,1-(MAX(0,Profiles!M76-'User Input'!$B$17)+0.5*MAX(0,'User Input'!$B$17-Profiles!M76)+MAX(0,Profiles!N76-'User Input'!$B$18)+0.5*MAX(0,'User Input'!$B$18-Profiles!N76)+MAX(0,Profiles!O76-'User Input'!$B$19)+0.5*MAX(0,'User Input'!$B$19-Profiles!O76)+MAX(0,Profiles!P76-'User Input'!$B$20)+0.5*MAX(0,'User Input'!$B$20-Profiles!P76)+MAX(0,Profiles!Q76-'User Input'!$B$21)+0.5*MAX(0,'User Input'!$B$21-Profiles!Q76)+MAX(0,Profiles!S76-'User Input'!$B$22)+0.5*MAX(0,'User Input'!$B$22-Profiles!S76)+MAX(0,Profiles!T76-'User Input'!$B$23)+0.5*MAX(0,'User Input'!$B$23-Profiles!T76)+MAX(0,Profiles!U76-'User Input'!$B$24)+0.5*MAX(0,'User Input'!$B$24-Profiles!U76))/40)</f>
        <v/>
      </c>
      <c r="J75" s="61">
        <f>ROUND(60*(E75+F75+G75+IFERROR(VALUE(H75),(E75+F75+G75)/3))/4 + 0.4*I75,1)</f>
        <v/>
      </c>
      <c r="K75" s="60">
        <f>IF(OR(AND('User Input'!$B$6="M",Profiles!$AG76="M"),AND('User Input'!$B$6="F",Profiles!$AG76="F")),1,0)</f>
        <v/>
      </c>
      <c r="L75" s="60">
        <f>IF('User Input'!$B$27="Either",(IF(Profiles!V76&gt;=4,1,0.3)+IF(OR(Profiles!V76&lt;=2,ISNUMBER(SEARCH("Individual",Profiles!D76))),1,0.3))/2,IF('User Input'!$B$27="Team",IF(Profiles!V76&gt;=4,1,0.3),IF(OR(Profiles!V76&lt;=2,ISNUMBER(SEARCH("Individual",Profiles!D76))),1,0.3)))</f>
        <v/>
      </c>
      <c r="M75" s="60">
        <f>IF(IFERROR(MATCH(Profiles!W76,{"None","Light","Medium","Heavy"},0)-1,0)&lt;=IFERROR(MATCH('User Input'!$B$28,{"None","Light","Medium","Heavy"},0)-1,3),1,MAX(0,1-0.4*(IFERROR(MATCH(Profiles!W76,{"None","Light","Medium","Heavy"},0)-1,0)-IFERROR(MATCH('User Input'!$B$28,{"None","Light","Medium","Heavy"},0)-1,3))))</f>
        <v/>
      </c>
      <c r="N75" s="60">
        <f>IF('User Input'!$B$29="neutral",1,IF('User Input'!$B$29="essential",IF(ISNUMBER(SEARCH("Outdoor",Profiles!X76)),1,0.3),IF('User Input'!$B$29="nice",IF(ISNUMBER(SEARCH("Outdoor",Profiles!X76)),1,0.65),IF('User Input'!$B$29="indoor",IF(ISNUMBER(SEARCH("Indoor",Profiles!X76)),1,0.4),1))))</f>
        <v/>
      </c>
      <c r="O75" s="60">
        <f>IF('User Input'!$B$30="Yes",1,IF(Profiles!Y76="Yes",0,1))</f>
        <v/>
      </c>
      <c r="P75" s="60">
        <f>IF(IFERROR(MATCH(Profiles!Z76,{"Low","Medium","High"},0),2)&lt;=IFERROR(MATCH('User Input'!$B$31,{"Low","Medium","High"},0),2),1,MAX(0,1-0.4*(IFERROR(MATCH(Profiles!Z76,{"Low","Medium","High"},0),2)-IFERROR(MATCH('User Input'!$B$31,{"Low","Medium","High"},0),2))))</f>
        <v/>
      </c>
      <c r="Q75" s="60">
        <f>IF('User Input'!$B$32="Yes",IF(ISNUMBER(Profiles!AC76),Profiles!AC76/10,0.5),1)</f>
        <v/>
      </c>
      <c r="R75" s="61">
        <f>IF(OR(K75=0,O75=0),0,ROUND(MIN(100,100*(K75*0.1+L75*0.2+M75*0.2+N75*0.1+P75*0.15+Q75*0.25)*W75*X75*Y75*Z75),1))</f>
        <v/>
      </c>
      <c r="S75" s="61">
        <f>IF(R75=0,0,ROUND(0.5*J75+0.5*R75,1))</f>
        <v/>
      </c>
      <c r="T75" s="36">
        <f>J75-ROW()/1000000</f>
        <v/>
      </c>
      <c r="U75" s="36">
        <f>R75-ROW()/1000000</f>
        <v/>
      </c>
      <c r="V75" s="36">
        <f>S75-ROW()/1000000</f>
        <v/>
      </c>
      <c r="W75" s="36">
        <f>IF(OR(AND(OR(Profiles!D76="Team field",Profiles!D76="Team field contact",Profiles!D76="Team field stick"),'User Input'!$B$34="Yes"),AND(OR(Profiles!D76="Team court",Profiles!D76="Team court contact"),'User Input'!$B$35="Yes"),AND(Profiles!D76="Individual racquet",'User Input'!$B$36="Yes"),AND(OR(Profiles!D76="Combat striking",Profiles!D76="Combat grappling",Profiles!D76="Combat mixed"),'User Input'!$B$37="Yes"),AND(OR(Profiles!D76="Team water contact",Profiles!D76="Individual water"),'User Input'!$B$38="Yes"),AND(OR(Profiles!D76="Endurance individual",Profiles!D76="Endurance individual / pair",Profiles!D76="Endurance individual / pursuit",Profiles!D76="Endurance team / pair",Profiles!D76="Endurance multi"),'User Input'!$B$39="Yes"),AND(OR(Profiles!D76="Strength individual",Profiles!D76="Power-throw individual"),'User Input'!$B$40="Yes"),AND(OR(Profiles!D76="Individual technical",Profiles!D76="Individual aesthetic",Profiles!D76="Team precision"),'User Input'!$B$41="Yes")),1.15,1)</f>
        <v/>
      </c>
      <c r="X75" s="36">
        <f>IF('User Input'!$B$33&lt;&gt;"none",1,IF(IFERROR(VALUE(TRIM(MID(SUBSTITUTE(SUBSTITUTE(Profiles!AA76,"–","-"),"-",REPT(" ",100)),100,100)))&lt;=14,FALSE),0.7,1))</f>
        <v/>
      </c>
      <c r="Y75" s="36">
        <f>IF(OR('User Input'!$B$42="under30",'User Input'!$B$42=""),1,IF('User Input'!$B$42="30to45",IF((IFERROR(MATCH(Profiles!W76,{"None","Light","Medium","Heavy"},0)-1,0)+IFERROR(MATCH(Profiles!AB76,{"Low","Medium","High"},0)-1,0))&gt;=5,0.85,1),IF('User Input'!$B$42="46to60",IF((IFERROR(MATCH(Profiles!W76,{"None","Light","Medium","Heavy"},0)-1,0)+IFERROR(MATCH(Profiles!AB76,{"Low","Medium","High"},0)-1,0))&gt;=5,0.65,IF((IFERROR(MATCH(Profiles!W76,{"None","Light","Medium","Heavy"},0)-1,0)+IFERROR(MATCH(Profiles!AB76,{"Low","Medium","High"},0)-1,0))&gt;=4,0.8,IF((IFERROR(MATCH(Profiles!W76,{"None","Light","Medium","Heavy"},0)-1,0)+IFERROR(MATCH(Profiles!AB76,{"Low","Medium","High"},0)-1,0))&gt;=3,0.9,1))),IF((IFERROR(MATCH(Profiles!W76,{"None","Light","Medium","Heavy"},0)-1,0)+IFERROR(MATCH(Profiles!AB76,{"Low","Medium","High"},0)-1,0))&gt;=5,0.4,IF((IFERROR(MATCH(Profiles!W76,{"None","Light","Medium","Heavy"},0)-1,0)+IFERROR(MATCH(Profiles!AB76,{"Low","Medium","High"},0)-1,0))&gt;=4,0.6,IF((IFERROR(MATCH(Profiles!W76,{"None","Light","Medium","Heavy"},0)-1,0)+IFERROR(MATCH(Profiles!AB76,{"Low","Medium","High"},0)-1,0))&gt;=3,0.75,IF((IFERROR(MATCH(Profiles!W76,{"None","Light","Medium","Heavy"},0)-1,0)+IFERROR(MATCH(Profiles!AB76,{"Low","Medium","High"},0)-1,0))&gt;=2,0.85,1)))))))</f>
        <v/>
      </c>
      <c r="Z75" s="36">
        <f>IF(OR('User Input'!$B$43="none",'User Input'!$B$43=""),1,IF('User Input'!$B$43="minor",IF(IFERROR(MATCH(Profiles!W76,{"None","Light","Medium","Heavy"},0)-1,0)&gt;=3,0.7,IF(IFERROR(MATCH(Profiles!W76,{"None","Light","Medium","Heavy"},0)-1,0)&gt;=2,0.85,1)),IF('User Input'!$B$43="joint",IF(OR(IFERROR(MATCH(Profiles!W76,{"None","Light","Medium","Heavy"},0)-1,0)&gt;=3,IFERROR(MATCH(Profiles!AB76,{"Low","Medium","High"},0)-1,0)&gt;=2),0.5,IF(OR(IFERROR(MATCH(Profiles!W76,{"None","Light","Medium","Heavy"},0)-1,0)&gt;=2,IFERROR(MATCH(Profiles!AB76,{"Low","Medium","High"},0)-1,0)&gt;=1),0.75,1)),IF(OR(IFERROR(MATCH(Profiles!W76,{"None","Light","Medium","Heavy"},0)-1,0)&gt;=2,IFERROR(MATCH(Profiles!AB76,{"Low","Medium","High"},0)-1,0)&gt;=2),0.3,IF(OR(IFERROR(MATCH(Profiles!W76,{"None","Light","Medium","Heavy"},0)-1,0)&gt;=1,IFERROR(MATCH(Profiles!AB76,{"Low","Medium","High"},0)-1,0)&gt;=1),0.6,0.9)))))</f>
        <v/>
      </c>
    </row>
    <row r="76" ht="23.25" customHeight="1" s="37">
      <c r="A76" s="59">
        <f>Profiles!A77</f>
        <v/>
      </c>
      <c r="B76" s="59">
        <f>Profiles!B77</f>
        <v/>
      </c>
      <c r="C76" s="59">
        <f>Profiles!C77</f>
        <v/>
      </c>
      <c r="D76" s="59">
        <f>Profiles!D77</f>
        <v/>
      </c>
      <c r="E76" s="60">
        <f>IF(ISNUMBER(Profiles!E77),IF(ISNUMBER(Profiles!F77),MAX(0,1-(MAX(0,ABS('User Input'!$B$9-Profiles!E77)-Profiles!F77))/Profiles!F77/3),MAX(0,1-ABS('User Input'!$B$9-Profiles!E77)/(Profiles!E77*0.1)/3)),0.5)</f>
        <v/>
      </c>
      <c r="F76" s="60">
        <f>IF(ISNUMBER(Profiles!G77),IF(ISNUMBER(Profiles!H77),MAX(0,1-(MAX(0,ABS('User Input'!$B$10-Profiles!G77)-Profiles!H77))/Profiles!H77/3),MAX(0,1-ABS('User Input'!$B$10-Profiles!G77)/(Profiles!G77*0.15)/3)),0.5)</f>
        <v/>
      </c>
      <c r="G76" s="60">
        <f>IF(ISNUMBER(Profiles!J77),MAX(0,1-ABS('User Input'!$B$12-Profiles!J77)/5/3),0.5)</f>
        <v/>
      </c>
      <c r="H76" s="60">
        <f>IF(ISNUMBER(Profiles!K77),MAX(0,1-ABS('User Input'!$B$14-Profiles!K77)/0.03/3),"n/a")</f>
        <v/>
      </c>
      <c r="I76" s="61">
        <f>100*MAX(0,1-(MAX(0,Profiles!M77-'User Input'!$B$17)+0.5*MAX(0,'User Input'!$B$17-Profiles!M77)+MAX(0,Profiles!N77-'User Input'!$B$18)+0.5*MAX(0,'User Input'!$B$18-Profiles!N77)+MAX(0,Profiles!O77-'User Input'!$B$19)+0.5*MAX(0,'User Input'!$B$19-Profiles!O77)+MAX(0,Profiles!P77-'User Input'!$B$20)+0.5*MAX(0,'User Input'!$B$20-Profiles!P77)+MAX(0,Profiles!Q77-'User Input'!$B$21)+0.5*MAX(0,'User Input'!$B$21-Profiles!Q77)+MAX(0,Profiles!S77-'User Input'!$B$22)+0.5*MAX(0,'User Input'!$B$22-Profiles!S77)+MAX(0,Profiles!T77-'User Input'!$B$23)+0.5*MAX(0,'User Input'!$B$23-Profiles!T77)+MAX(0,Profiles!U77-'User Input'!$B$24)+0.5*MAX(0,'User Input'!$B$24-Profiles!U77))/40)</f>
        <v/>
      </c>
      <c r="J76" s="61">
        <f>ROUND(60*(E76+F76+G76+IFERROR(VALUE(H76),(E76+F76+G76)/3))/4 + 0.4*I76,1)</f>
        <v/>
      </c>
      <c r="K76" s="60">
        <f>IF(OR(AND('User Input'!$B$6="M",Profiles!$AG77="M"),AND('User Input'!$B$6="F",Profiles!$AG77="F")),1,0)</f>
        <v/>
      </c>
      <c r="L76" s="60">
        <f>IF('User Input'!$B$27="Either",(IF(Profiles!V77&gt;=4,1,0.3)+IF(OR(Profiles!V77&lt;=2,ISNUMBER(SEARCH("Individual",Profiles!D77))),1,0.3))/2,IF('User Input'!$B$27="Team",IF(Profiles!V77&gt;=4,1,0.3),IF(OR(Profiles!V77&lt;=2,ISNUMBER(SEARCH("Individual",Profiles!D77))),1,0.3)))</f>
        <v/>
      </c>
      <c r="M76" s="60">
        <f>IF(IFERROR(MATCH(Profiles!W77,{"None","Light","Medium","Heavy"},0)-1,0)&lt;=IFERROR(MATCH('User Input'!$B$28,{"None","Light","Medium","Heavy"},0)-1,3),1,MAX(0,1-0.4*(IFERROR(MATCH(Profiles!W77,{"None","Light","Medium","Heavy"},0)-1,0)-IFERROR(MATCH('User Input'!$B$28,{"None","Light","Medium","Heavy"},0)-1,3))))</f>
        <v/>
      </c>
      <c r="N76" s="60">
        <f>IF('User Input'!$B$29="neutral",1,IF('User Input'!$B$29="essential",IF(ISNUMBER(SEARCH("Outdoor",Profiles!X77)),1,0.3),IF('User Input'!$B$29="nice",IF(ISNUMBER(SEARCH("Outdoor",Profiles!X77)),1,0.65),IF('User Input'!$B$29="indoor",IF(ISNUMBER(SEARCH("Indoor",Profiles!X77)),1,0.4),1))))</f>
        <v/>
      </c>
      <c r="O76" s="60">
        <f>IF('User Input'!$B$30="Yes",1,IF(Profiles!Y77="Yes",0,1))</f>
        <v/>
      </c>
      <c r="P76" s="60">
        <f>IF(IFERROR(MATCH(Profiles!Z77,{"Low","Medium","High"},0),2)&lt;=IFERROR(MATCH('User Input'!$B$31,{"Low","Medium","High"},0),2),1,MAX(0,1-0.4*(IFERROR(MATCH(Profiles!Z77,{"Low","Medium","High"},0),2)-IFERROR(MATCH('User Input'!$B$31,{"Low","Medium","High"},0),2))))</f>
        <v/>
      </c>
      <c r="Q76" s="60">
        <f>IF('User Input'!$B$32="Yes",IF(ISNUMBER(Profiles!AC77),Profiles!AC77/10,0.5),1)</f>
        <v/>
      </c>
      <c r="R76" s="61">
        <f>IF(OR(K76=0,O76=0),0,ROUND(MIN(100,100*(K76*0.1+L76*0.2+M76*0.2+N76*0.1+P76*0.15+Q76*0.25)*W76*X76*Y76*Z76),1))</f>
        <v/>
      </c>
      <c r="S76" s="61">
        <f>IF(R76=0,0,ROUND(0.5*J76+0.5*R76,1))</f>
        <v/>
      </c>
      <c r="T76" s="36">
        <f>J76-ROW()/1000000</f>
        <v/>
      </c>
      <c r="U76" s="36">
        <f>R76-ROW()/1000000</f>
        <v/>
      </c>
      <c r="V76" s="36">
        <f>S76-ROW()/1000000</f>
        <v/>
      </c>
      <c r="W76" s="36">
        <f>IF(OR(AND(OR(Profiles!D77="Team field",Profiles!D77="Team field contact",Profiles!D77="Team field stick"),'User Input'!$B$34="Yes"),AND(OR(Profiles!D77="Team court",Profiles!D77="Team court contact"),'User Input'!$B$35="Yes"),AND(Profiles!D77="Individual racquet",'User Input'!$B$36="Yes"),AND(OR(Profiles!D77="Combat striking",Profiles!D77="Combat grappling",Profiles!D77="Combat mixed"),'User Input'!$B$37="Yes"),AND(OR(Profiles!D77="Team water contact",Profiles!D77="Individual water"),'User Input'!$B$38="Yes"),AND(OR(Profiles!D77="Endurance individual",Profiles!D77="Endurance individual / pair",Profiles!D77="Endurance individual / pursuit",Profiles!D77="Endurance team / pair",Profiles!D77="Endurance multi"),'User Input'!$B$39="Yes"),AND(OR(Profiles!D77="Strength individual",Profiles!D77="Power-throw individual"),'User Input'!$B$40="Yes"),AND(OR(Profiles!D77="Individual technical",Profiles!D77="Individual aesthetic",Profiles!D77="Team precision"),'User Input'!$B$41="Yes")),1.15,1)</f>
        <v/>
      </c>
      <c r="X76" s="36">
        <f>IF('User Input'!$B$33&lt;&gt;"none",1,IF(IFERROR(VALUE(TRIM(MID(SUBSTITUTE(SUBSTITUTE(Profiles!AA77,"–","-"),"-",REPT(" ",100)),100,100)))&lt;=14,FALSE),0.7,1))</f>
        <v/>
      </c>
      <c r="Y76" s="36">
        <f>IF(OR('User Input'!$B$42="under30",'User Input'!$B$42=""),1,IF('User Input'!$B$42="30to45",IF((IFERROR(MATCH(Profiles!W77,{"None","Light","Medium","Heavy"},0)-1,0)+IFERROR(MATCH(Profiles!AB77,{"Low","Medium","High"},0)-1,0))&gt;=5,0.85,1),IF('User Input'!$B$42="46to60",IF((IFERROR(MATCH(Profiles!W77,{"None","Light","Medium","Heavy"},0)-1,0)+IFERROR(MATCH(Profiles!AB77,{"Low","Medium","High"},0)-1,0))&gt;=5,0.65,IF((IFERROR(MATCH(Profiles!W77,{"None","Light","Medium","Heavy"},0)-1,0)+IFERROR(MATCH(Profiles!AB77,{"Low","Medium","High"},0)-1,0))&gt;=4,0.8,IF((IFERROR(MATCH(Profiles!W77,{"None","Light","Medium","Heavy"},0)-1,0)+IFERROR(MATCH(Profiles!AB77,{"Low","Medium","High"},0)-1,0))&gt;=3,0.9,1))),IF((IFERROR(MATCH(Profiles!W77,{"None","Light","Medium","Heavy"},0)-1,0)+IFERROR(MATCH(Profiles!AB77,{"Low","Medium","High"},0)-1,0))&gt;=5,0.4,IF((IFERROR(MATCH(Profiles!W77,{"None","Light","Medium","Heavy"},0)-1,0)+IFERROR(MATCH(Profiles!AB77,{"Low","Medium","High"},0)-1,0))&gt;=4,0.6,IF((IFERROR(MATCH(Profiles!W77,{"None","Light","Medium","Heavy"},0)-1,0)+IFERROR(MATCH(Profiles!AB77,{"Low","Medium","High"},0)-1,0))&gt;=3,0.75,IF((IFERROR(MATCH(Profiles!W77,{"None","Light","Medium","Heavy"},0)-1,0)+IFERROR(MATCH(Profiles!AB77,{"Low","Medium","High"},0)-1,0))&gt;=2,0.85,1)))))))</f>
        <v/>
      </c>
      <c r="Z76" s="36">
        <f>IF(OR('User Input'!$B$43="none",'User Input'!$B$43=""),1,IF('User Input'!$B$43="minor",IF(IFERROR(MATCH(Profiles!W77,{"None","Light","Medium","Heavy"},0)-1,0)&gt;=3,0.7,IF(IFERROR(MATCH(Profiles!W77,{"None","Light","Medium","Heavy"},0)-1,0)&gt;=2,0.85,1)),IF('User Input'!$B$43="joint",IF(OR(IFERROR(MATCH(Profiles!W77,{"None","Light","Medium","Heavy"},0)-1,0)&gt;=3,IFERROR(MATCH(Profiles!AB77,{"Low","Medium","High"},0)-1,0)&gt;=2),0.5,IF(OR(IFERROR(MATCH(Profiles!W77,{"None","Light","Medium","Heavy"},0)-1,0)&gt;=2,IFERROR(MATCH(Profiles!AB77,{"Low","Medium","High"},0)-1,0)&gt;=1),0.75,1)),IF(OR(IFERROR(MATCH(Profiles!W77,{"None","Light","Medium","Heavy"},0)-1,0)&gt;=2,IFERROR(MATCH(Profiles!AB77,{"Low","Medium","High"},0)-1,0)&gt;=2),0.3,IF(OR(IFERROR(MATCH(Profiles!W77,{"None","Light","Medium","Heavy"},0)-1,0)&gt;=1,IFERROR(MATCH(Profiles!AB77,{"Low","Medium","High"},0)-1,0)&gt;=1),0.6,0.9)))))</f>
        <v/>
      </c>
    </row>
    <row r="77" ht="23.25" customHeight="1" s="37">
      <c r="A77" s="59">
        <f>Profiles!A78</f>
        <v/>
      </c>
      <c r="B77" s="59">
        <f>Profiles!B78</f>
        <v/>
      </c>
      <c r="C77" s="59">
        <f>Profiles!C78</f>
        <v/>
      </c>
      <c r="D77" s="59">
        <f>Profiles!D78</f>
        <v/>
      </c>
      <c r="E77" s="60">
        <f>IF(ISNUMBER(Profiles!E78),IF(ISNUMBER(Profiles!F78),MAX(0,1-(MAX(0,ABS('User Input'!$B$9-Profiles!E78)-Profiles!F78))/Profiles!F78/3),MAX(0,1-ABS('User Input'!$B$9-Profiles!E78)/(Profiles!E78*0.1)/3)),0.5)</f>
        <v/>
      </c>
      <c r="F77" s="60">
        <f>IF(ISNUMBER(Profiles!G78),IF(ISNUMBER(Profiles!H78),MAX(0,1-(MAX(0,ABS('User Input'!$B$10-Profiles!G78)-Profiles!H78))/Profiles!H78/3),MAX(0,1-ABS('User Input'!$B$10-Profiles!G78)/(Profiles!G78*0.15)/3)),0.5)</f>
        <v/>
      </c>
      <c r="G77" s="60">
        <f>IF(ISNUMBER(Profiles!J78),MAX(0,1-ABS('User Input'!$B$12-Profiles!J78)/5/3),0.5)</f>
        <v/>
      </c>
      <c r="H77" s="60">
        <f>IF(ISNUMBER(Profiles!K78),MAX(0,1-ABS('User Input'!$B$14-Profiles!K78)/0.03/3),"n/a")</f>
        <v/>
      </c>
      <c r="I77" s="61">
        <f>100*MAX(0,1-(MAX(0,Profiles!M78-'User Input'!$B$17)+0.5*MAX(0,'User Input'!$B$17-Profiles!M78)+MAX(0,Profiles!N78-'User Input'!$B$18)+0.5*MAX(0,'User Input'!$B$18-Profiles!N78)+MAX(0,Profiles!O78-'User Input'!$B$19)+0.5*MAX(0,'User Input'!$B$19-Profiles!O78)+MAX(0,Profiles!P78-'User Input'!$B$20)+0.5*MAX(0,'User Input'!$B$20-Profiles!P78)+MAX(0,Profiles!Q78-'User Input'!$B$21)+0.5*MAX(0,'User Input'!$B$21-Profiles!Q78)+MAX(0,Profiles!S78-'User Input'!$B$22)+0.5*MAX(0,'User Input'!$B$22-Profiles!S78)+MAX(0,Profiles!T78-'User Input'!$B$23)+0.5*MAX(0,'User Input'!$B$23-Profiles!T78)+MAX(0,Profiles!U78-'User Input'!$B$24)+0.5*MAX(0,'User Input'!$B$24-Profiles!U78))/40)</f>
        <v/>
      </c>
      <c r="J77" s="61">
        <f>ROUND(60*(E77+F77+G77+IFERROR(VALUE(H77),(E77+F77+G77)/3))/4 + 0.4*I77,1)</f>
        <v/>
      </c>
      <c r="K77" s="60">
        <f>IF(OR(AND('User Input'!$B$6="M",Profiles!$AG78="M"),AND('User Input'!$B$6="F",Profiles!$AG78="F")),1,0)</f>
        <v/>
      </c>
      <c r="L77" s="60">
        <f>IF('User Input'!$B$27="Either",(IF(Profiles!V78&gt;=4,1,0.3)+IF(OR(Profiles!V78&lt;=2,ISNUMBER(SEARCH("Individual",Profiles!D78))),1,0.3))/2,IF('User Input'!$B$27="Team",IF(Profiles!V78&gt;=4,1,0.3),IF(OR(Profiles!V78&lt;=2,ISNUMBER(SEARCH("Individual",Profiles!D78))),1,0.3)))</f>
        <v/>
      </c>
      <c r="M77" s="60">
        <f>IF(IFERROR(MATCH(Profiles!W78,{"None","Light","Medium","Heavy"},0)-1,0)&lt;=IFERROR(MATCH('User Input'!$B$28,{"None","Light","Medium","Heavy"},0)-1,3),1,MAX(0,1-0.4*(IFERROR(MATCH(Profiles!W78,{"None","Light","Medium","Heavy"},0)-1,0)-IFERROR(MATCH('User Input'!$B$28,{"None","Light","Medium","Heavy"},0)-1,3))))</f>
        <v/>
      </c>
      <c r="N77" s="60">
        <f>IF('User Input'!$B$29="neutral",1,IF('User Input'!$B$29="essential",IF(ISNUMBER(SEARCH("Outdoor",Profiles!X78)),1,0.3),IF('User Input'!$B$29="nice",IF(ISNUMBER(SEARCH("Outdoor",Profiles!X78)),1,0.65),IF('User Input'!$B$29="indoor",IF(ISNUMBER(SEARCH("Indoor",Profiles!X78)),1,0.4),1))))</f>
        <v/>
      </c>
      <c r="O77" s="60">
        <f>IF('User Input'!$B$30="Yes",1,IF(Profiles!Y78="Yes",0,1))</f>
        <v/>
      </c>
      <c r="P77" s="60">
        <f>IF(IFERROR(MATCH(Profiles!Z78,{"Low","Medium","High"},0),2)&lt;=IFERROR(MATCH('User Input'!$B$31,{"Low","Medium","High"},0),2),1,MAX(0,1-0.4*(IFERROR(MATCH(Profiles!Z78,{"Low","Medium","High"},0),2)-IFERROR(MATCH('User Input'!$B$31,{"Low","Medium","High"},0),2))))</f>
        <v/>
      </c>
      <c r="Q77" s="60">
        <f>IF('User Input'!$B$32="Yes",IF(ISNUMBER(Profiles!AC78),Profiles!AC78/10,0.5),1)</f>
        <v/>
      </c>
      <c r="R77" s="61">
        <f>IF(OR(K77=0,O77=0),0,ROUND(MIN(100,100*(K77*0.1+L77*0.2+M77*0.2+N77*0.1+P77*0.15+Q77*0.25)*W77*X77*Y77*Z77),1))</f>
        <v/>
      </c>
      <c r="S77" s="61">
        <f>IF(R77=0,0,ROUND(0.5*J77+0.5*R77,1))</f>
        <v/>
      </c>
      <c r="T77" s="36">
        <f>J77-ROW()/1000000</f>
        <v/>
      </c>
      <c r="U77" s="36">
        <f>R77-ROW()/1000000</f>
        <v/>
      </c>
      <c r="V77" s="36">
        <f>S77-ROW()/1000000</f>
        <v/>
      </c>
      <c r="W77" s="36">
        <f>IF(OR(AND(OR(Profiles!D78="Team field",Profiles!D78="Team field contact",Profiles!D78="Team field stick"),'User Input'!$B$34="Yes"),AND(OR(Profiles!D78="Team court",Profiles!D78="Team court contact"),'User Input'!$B$35="Yes"),AND(Profiles!D78="Individual racquet",'User Input'!$B$36="Yes"),AND(OR(Profiles!D78="Combat striking",Profiles!D78="Combat grappling",Profiles!D78="Combat mixed"),'User Input'!$B$37="Yes"),AND(OR(Profiles!D78="Team water contact",Profiles!D78="Individual water"),'User Input'!$B$38="Yes"),AND(OR(Profiles!D78="Endurance individual",Profiles!D78="Endurance individual / pair",Profiles!D78="Endurance individual / pursuit",Profiles!D78="Endurance team / pair",Profiles!D78="Endurance multi"),'User Input'!$B$39="Yes"),AND(OR(Profiles!D78="Strength individual",Profiles!D78="Power-throw individual"),'User Input'!$B$40="Yes"),AND(OR(Profiles!D78="Individual technical",Profiles!D78="Individual aesthetic",Profiles!D78="Team precision"),'User Input'!$B$41="Yes")),1.15,1)</f>
        <v/>
      </c>
      <c r="X77" s="36">
        <f>IF('User Input'!$B$33&lt;&gt;"none",1,IF(IFERROR(VALUE(TRIM(MID(SUBSTITUTE(SUBSTITUTE(Profiles!AA78,"–","-"),"-",REPT(" ",100)),100,100)))&lt;=14,FALSE),0.7,1))</f>
        <v/>
      </c>
      <c r="Y77" s="36">
        <f>IF(OR('User Input'!$B$42="under30",'User Input'!$B$42=""),1,IF('User Input'!$B$42="30to45",IF((IFERROR(MATCH(Profiles!W78,{"None","Light","Medium","Heavy"},0)-1,0)+IFERROR(MATCH(Profiles!AB78,{"Low","Medium","High"},0)-1,0))&gt;=5,0.85,1),IF('User Input'!$B$42="46to60",IF((IFERROR(MATCH(Profiles!W78,{"None","Light","Medium","Heavy"},0)-1,0)+IFERROR(MATCH(Profiles!AB78,{"Low","Medium","High"},0)-1,0))&gt;=5,0.65,IF((IFERROR(MATCH(Profiles!W78,{"None","Light","Medium","Heavy"},0)-1,0)+IFERROR(MATCH(Profiles!AB78,{"Low","Medium","High"},0)-1,0))&gt;=4,0.8,IF((IFERROR(MATCH(Profiles!W78,{"None","Light","Medium","Heavy"},0)-1,0)+IFERROR(MATCH(Profiles!AB78,{"Low","Medium","High"},0)-1,0))&gt;=3,0.9,1))),IF((IFERROR(MATCH(Profiles!W78,{"None","Light","Medium","Heavy"},0)-1,0)+IFERROR(MATCH(Profiles!AB78,{"Low","Medium","High"},0)-1,0))&gt;=5,0.4,IF((IFERROR(MATCH(Profiles!W78,{"None","Light","Medium","Heavy"},0)-1,0)+IFERROR(MATCH(Profiles!AB78,{"Low","Medium","High"},0)-1,0))&gt;=4,0.6,IF((IFERROR(MATCH(Profiles!W78,{"None","Light","Medium","Heavy"},0)-1,0)+IFERROR(MATCH(Profiles!AB78,{"Low","Medium","High"},0)-1,0))&gt;=3,0.75,IF((IFERROR(MATCH(Profiles!W78,{"None","Light","Medium","Heavy"},0)-1,0)+IFERROR(MATCH(Profiles!AB78,{"Low","Medium","High"},0)-1,0))&gt;=2,0.85,1)))))))</f>
        <v/>
      </c>
      <c r="Z77" s="36">
        <f>IF(OR('User Input'!$B$43="none",'User Input'!$B$43=""),1,IF('User Input'!$B$43="minor",IF(IFERROR(MATCH(Profiles!W78,{"None","Light","Medium","Heavy"},0)-1,0)&gt;=3,0.7,IF(IFERROR(MATCH(Profiles!W78,{"None","Light","Medium","Heavy"},0)-1,0)&gt;=2,0.85,1)),IF('User Input'!$B$43="joint",IF(OR(IFERROR(MATCH(Profiles!W78,{"None","Light","Medium","Heavy"},0)-1,0)&gt;=3,IFERROR(MATCH(Profiles!AB78,{"Low","Medium","High"},0)-1,0)&gt;=2),0.5,IF(OR(IFERROR(MATCH(Profiles!W78,{"None","Light","Medium","Heavy"},0)-1,0)&gt;=2,IFERROR(MATCH(Profiles!AB78,{"Low","Medium","High"},0)-1,0)&gt;=1),0.75,1)),IF(OR(IFERROR(MATCH(Profiles!W78,{"None","Light","Medium","Heavy"},0)-1,0)&gt;=2,IFERROR(MATCH(Profiles!AB78,{"Low","Medium","High"},0)-1,0)&gt;=2),0.3,IF(OR(IFERROR(MATCH(Profiles!W78,{"None","Light","Medium","Heavy"},0)-1,0)&gt;=1,IFERROR(MATCH(Profiles!AB78,{"Low","Medium","High"},0)-1,0)&gt;=1),0.6,0.9)))))</f>
        <v/>
      </c>
    </row>
    <row r="78" ht="15" customHeight="1" s="37">
      <c r="A78" s="59">
        <f>Profiles!A79</f>
        <v/>
      </c>
      <c r="B78" s="59">
        <f>Profiles!B79</f>
        <v/>
      </c>
      <c r="C78" s="59">
        <f>Profiles!C79</f>
        <v/>
      </c>
      <c r="D78" s="59">
        <f>Profiles!D79</f>
        <v/>
      </c>
      <c r="E78" s="60">
        <f>IF(ISNUMBER(Profiles!E79),IF(ISNUMBER(Profiles!F79),MAX(0,1-(MAX(0,ABS('User Input'!$B$9-Profiles!E79)-Profiles!F79))/Profiles!F79/3),MAX(0,1-ABS('User Input'!$B$9-Profiles!E79)/(Profiles!E79*0.1)/3)),0.5)</f>
        <v/>
      </c>
      <c r="F78" s="60">
        <f>IF(ISNUMBER(Profiles!G79),IF(ISNUMBER(Profiles!H79),MAX(0,1-(MAX(0,ABS('User Input'!$B$10-Profiles!G79)-Profiles!H79))/Profiles!H79/3),MAX(0,1-ABS('User Input'!$B$10-Profiles!G79)/(Profiles!G79*0.15)/3)),0.5)</f>
        <v/>
      </c>
      <c r="G78" s="60">
        <f>IF(ISNUMBER(Profiles!J79),MAX(0,1-ABS('User Input'!$B$12-Profiles!J79)/5/3),0.5)</f>
        <v/>
      </c>
      <c r="H78" s="60">
        <f>IF(ISNUMBER(Profiles!K79),MAX(0,1-ABS('User Input'!$B$14-Profiles!K79)/0.03/3),"n/a")</f>
        <v/>
      </c>
      <c r="I78" s="61">
        <f>100*MAX(0,1-(MAX(0,Profiles!M79-'User Input'!$B$17)+0.5*MAX(0,'User Input'!$B$17-Profiles!M79)+MAX(0,Profiles!N79-'User Input'!$B$18)+0.5*MAX(0,'User Input'!$B$18-Profiles!N79)+MAX(0,Profiles!O79-'User Input'!$B$19)+0.5*MAX(0,'User Input'!$B$19-Profiles!O79)+MAX(0,Profiles!P79-'User Input'!$B$20)+0.5*MAX(0,'User Input'!$B$20-Profiles!P79)+MAX(0,Profiles!Q79-'User Input'!$B$21)+0.5*MAX(0,'User Input'!$B$21-Profiles!Q79)+MAX(0,Profiles!S79-'User Input'!$B$22)+0.5*MAX(0,'User Input'!$B$22-Profiles!S79)+MAX(0,Profiles!T79-'User Input'!$B$23)+0.5*MAX(0,'User Input'!$B$23-Profiles!T79)+MAX(0,Profiles!U79-'User Input'!$B$24)+0.5*MAX(0,'User Input'!$B$24-Profiles!U79))/40)</f>
        <v/>
      </c>
      <c r="J78" s="61">
        <f>ROUND(60*(E78+F78+G78+IFERROR(VALUE(H78),(E78+F78+G78)/3))/4 + 0.4*I78,1)</f>
        <v/>
      </c>
      <c r="K78" s="60">
        <f>IF(OR(AND('User Input'!$B$6="M",Profiles!$AG79="M"),AND('User Input'!$B$6="F",Profiles!$AG79="F")),1,0)</f>
        <v/>
      </c>
      <c r="L78" s="60">
        <f>IF('User Input'!$B$27="Either",(IF(Profiles!V79&gt;=4,1,0.3)+IF(OR(Profiles!V79&lt;=2,ISNUMBER(SEARCH("Individual",Profiles!D79))),1,0.3))/2,IF('User Input'!$B$27="Team",IF(Profiles!V79&gt;=4,1,0.3),IF(OR(Profiles!V79&lt;=2,ISNUMBER(SEARCH("Individual",Profiles!D79))),1,0.3)))</f>
        <v/>
      </c>
      <c r="M78" s="60">
        <f>IF(IFERROR(MATCH(Profiles!W79,{"None","Light","Medium","Heavy"},0)-1,0)&lt;=IFERROR(MATCH('User Input'!$B$28,{"None","Light","Medium","Heavy"},0)-1,3),1,MAX(0,1-0.4*(IFERROR(MATCH(Profiles!W79,{"None","Light","Medium","Heavy"},0)-1,0)-IFERROR(MATCH('User Input'!$B$28,{"None","Light","Medium","Heavy"},0)-1,3))))</f>
        <v/>
      </c>
      <c r="N78" s="60">
        <f>IF('User Input'!$B$29="neutral",1,IF('User Input'!$B$29="essential",IF(ISNUMBER(SEARCH("Outdoor",Profiles!X79)),1,0.3),IF('User Input'!$B$29="nice",IF(ISNUMBER(SEARCH("Outdoor",Profiles!X79)),1,0.65),IF('User Input'!$B$29="indoor",IF(ISNUMBER(SEARCH("Indoor",Profiles!X79)),1,0.4),1))))</f>
        <v/>
      </c>
      <c r="O78" s="60">
        <f>IF('User Input'!$B$30="Yes",1,IF(Profiles!Y79="Yes",0,1))</f>
        <v/>
      </c>
      <c r="P78" s="60">
        <f>IF(IFERROR(MATCH(Profiles!Z79,{"Low","Medium","High"},0),2)&lt;=IFERROR(MATCH('User Input'!$B$31,{"Low","Medium","High"},0),2),1,MAX(0,1-0.4*(IFERROR(MATCH(Profiles!Z79,{"Low","Medium","High"},0),2)-IFERROR(MATCH('User Input'!$B$31,{"Low","Medium","High"},0),2))))</f>
        <v/>
      </c>
      <c r="Q78" s="60">
        <f>IF('User Input'!$B$32="Yes",IF(ISNUMBER(Profiles!AC79),Profiles!AC79/10,0.5),1)</f>
        <v/>
      </c>
      <c r="R78" s="61">
        <f>IF(OR(K78=0,O78=0),0,ROUND(MIN(100,100*(K78*0.1+L78*0.2+M78*0.2+N78*0.1+P78*0.15+Q78*0.25)*W78*X78*Y78*Z78),1))</f>
        <v/>
      </c>
      <c r="S78" s="61">
        <f>IF(R78=0,0,ROUND(0.5*J78+0.5*R78,1))</f>
        <v/>
      </c>
      <c r="T78" s="36">
        <f>J78-ROW()/1000000</f>
        <v/>
      </c>
      <c r="U78" s="36">
        <f>R78-ROW()/1000000</f>
        <v/>
      </c>
      <c r="V78" s="36">
        <f>S78-ROW()/1000000</f>
        <v/>
      </c>
      <c r="W78" s="36">
        <f>IF(OR(AND(OR(Profiles!D79="Team field",Profiles!D79="Team field contact",Profiles!D79="Team field stick"),'User Input'!$B$34="Yes"),AND(OR(Profiles!D79="Team court",Profiles!D79="Team court contact"),'User Input'!$B$35="Yes"),AND(Profiles!D79="Individual racquet",'User Input'!$B$36="Yes"),AND(OR(Profiles!D79="Combat striking",Profiles!D79="Combat grappling",Profiles!D79="Combat mixed"),'User Input'!$B$37="Yes"),AND(OR(Profiles!D79="Team water contact",Profiles!D79="Individual water"),'User Input'!$B$38="Yes"),AND(OR(Profiles!D79="Endurance individual",Profiles!D79="Endurance individual / pair",Profiles!D79="Endurance individual / pursuit",Profiles!D79="Endurance team / pair",Profiles!D79="Endurance multi"),'User Input'!$B$39="Yes"),AND(OR(Profiles!D79="Strength individual",Profiles!D79="Power-throw individual"),'User Input'!$B$40="Yes"),AND(OR(Profiles!D79="Individual technical",Profiles!D79="Individual aesthetic",Profiles!D79="Team precision"),'User Input'!$B$41="Yes")),1.15,1)</f>
        <v/>
      </c>
      <c r="X78" s="36">
        <f>IF('User Input'!$B$33&lt;&gt;"none",1,IF(IFERROR(VALUE(TRIM(MID(SUBSTITUTE(SUBSTITUTE(Profiles!AA79,"–","-"),"-",REPT(" ",100)),100,100)))&lt;=14,FALSE),0.7,1))</f>
        <v/>
      </c>
      <c r="Y78" s="36">
        <f>IF(OR('User Input'!$B$42="under30",'User Input'!$B$42=""),1,IF('User Input'!$B$42="30to45",IF((IFERROR(MATCH(Profiles!W79,{"None","Light","Medium","Heavy"},0)-1,0)+IFERROR(MATCH(Profiles!AB79,{"Low","Medium","High"},0)-1,0))&gt;=5,0.85,1),IF('User Input'!$B$42="46to60",IF((IFERROR(MATCH(Profiles!W79,{"None","Light","Medium","Heavy"},0)-1,0)+IFERROR(MATCH(Profiles!AB79,{"Low","Medium","High"},0)-1,0))&gt;=5,0.65,IF((IFERROR(MATCH(Profiles!W79,{"None","Light","Medium","Heavy"},0)-1,0)+IFERROR(MATCH(Profiles!AB79,{"Low","Medium","High"},0)-1,0))&gt;=4,0.8,IF((IFERROR(MATCH(Profiles!W79,{"None","Light","Medium","Heavy"},0)-1,0)+IFERROR(MATCH(Profiles!AB79,{"Low","Medium","High"},0)-1,0))&gt;=3,0.9,1))),IF((IFERROR(MATCH(Profiles!W79,{"None","Light","Medium","Heavy"},0)-1,0)+IFERROR(MATCH(Profiles!AB79,{"Low","Medium","High"},0)-1,0))&gt;=5,0.4,IF((IFERROR(MATCH(Profiles!W79,{"None","Light","Medium","Heavy"},0)-1,0)+IFERROR(MATCH(Profiles!AB79,{"Low","Medium","High"},0)-1,0))&gt;=4,0.6,IF((IFERROR(MATCH(Profiles!W79,{"None","Light","Medium","Heavy"},0)-1,0)+IFERROR(MATCH(Profiles!AB79,{"Low","Medium","High"},0)-1,0))&gt;=3,0.75,IF((IFERROR(MATCH(Profiles!W79,{"None","Light","Medium","Heavy"},0)-1,0)+IFERROR(MATCH(Profiles!AB79,{"Low","Medium","High"},0)-1,0))&gt;=2,0.85,1)))))))</f>
        <v/>
      </c>
      <c r="Z78" s="36">
        <f>IF(OR('User Input'!$B$43="none",'User Input'!$B$43=""),1,IF('User Input'!$B$43="minor",IF(IFERROR(MATCH(Profiles!W79,{"None","Light","Medium","Heavy"},0)-1,0)&gt;=3,0.7,IF(IFERROR(MATCH(Profiles!W79,{"None","Light","Medium","Heavy"},0)-1,0)&gt;=2,0.85,1)),IF('User Input'!$B$43="joint",IF(OR(IFERROR(MATCH(Profiles!W79,{"None","Light","Medium","Heavy"},0)-1,0)&gt;=3,IFERROR(MATCH(Profiles!AB79,{"Low","Medium","High"},0)-1,0)&gt;=2),0.5,IF(OR(IFERROR(MATCH(Profiles!W79,{"None","Light","Medium","Heavy"},0)-1,0)&gt;=2,IFERROR(MATCH(Profiles!AB79,{"Low","Medium","High"},0)-1,0)&gt;=1),0.75,1)),IF(OR(IFERROR(MATCH(Profiles!W79,{"None","Light","Medium","Heavy"},0)-1,0)&gt;=2,IFERROR(MATCH(Profiles!AB79,{"Low","Medium","High"},0)-1,0)&gt;=2),0.3,IF(OR(IFERROR(MATCH(Profiles!W79,{"None","Light","Medium","Heavy"},0)-1,0)&gt;=1,IFERROR(MATCH(Profiles!AB79,{"Low","Medium","High"},0)-1,0)&gt;=1),0.6,0.9)))))</f>
        <v/>
      </c>
    </row>
    <row r="79" ht="23.25" customHeight="1" s="37">
      <c r="A79" s="59">
        <f>Profiles!A80</f>
        <v/>
      </c>
      <c r="B79" s="59">
        <f>Profiles!B80</f>
        <v/>
      </c>
      <c r="C79" s="59">
        <f>Profiles!C80</f>
        <v/>
      </c>
      <c r="D79" s="59">
        <f>Profiles!D80</f>
        <v/>
      </c>
      <c r="E79" s="60">
        <f>IF(ISNUMBER(Profiles!E80),IF(ISNUMBER(Profiles!F80),MAX(0,1-(MAX(0,ABS('User Input'!$B$9-Profiles!E80)-Profiles!F80))/Profiles!F80/3),MAX(0,1-ABS('User Input'!$B$9-Profiles!E80)/(Profiles!E80*0.1)/3)),0.5)</f>
        <v/>
      </c>
      <c r="F79" s="60">
        <f>IF(ISNUMBER(Profiles!G80),IF(ISNUMBER(Profiles!H80),MAX(0,1-(MAX(0,ABS('User Input'!$B$10-Profiles!G80)-Profiles!H80))/Profiles!H80/3),MAX(0,1-ABS('User Input'!$B$10-Profiles!G80)/(Profiles!G80*0.15)/3)),0.5)</f>
        <v/>
      </c>
      <c r="G79" s="60">
        <f>IF(ISNUMBER(Profiles!J80),MAX(0,1-ABS('User Input'!$B$12-Profiles!J80)/5/3),0.5)</f>
        <v/>
      </c>
      <c r="H79" s="60">
        <f>IF(ISNUMBER(Profiles!K80),MAX(0,1-ABS('User Input'!$B$14-Profiles!K80)/0.03/3),"n/a")</f>
        <v/>
      </c>
      <c r="I79" s="61">
        <f>100*MAX(0,1-(MAX(0,Profiles!M80-'User Input'!$B$17)+0.5*MAX(0,'User Input'!$B$17-Profiles!M80)+MAX(0,Profiles!N80-'User Input'!$B$18)+0.5*MAX(0,'User Input'!$B$18-Profiles!N80)+MAX(0,Profiles!O80-'User Input'!$B$19)+0.5*MAX(0,'User Input'!$B$19-Profiles!O80)+MAX(0,Profiles!P80-'User Input'!$B$20)+0.5*MAX(0,'User Input'!$B$20-Profiles!P80)+MAX(0,Profiles!Q80-'User Input'!$B$21)+0.5*MAX(0,'User Input'!$B$21-Profiles!Q80)+MAX(0,Profiles!S80-'User Input'!$B$22)+0.5*MAX(0,'User Input'!$B$22-Profiles!S80)+MAX(0,Profiles!T80-'User Input'!$B$23)+0.5*MAX(0,'User Input'!$B$23-Profiles!T80)+MAX(0,Profiles!U80-'User Input'!$B$24)+0.5*MAX(0,'User Input'!$B$24-Profiles!U80))/40)</f>
        <v/>
      </c>
      <c r="J79" s="61">
        <f>ROUND(60*(E79+F79+G79+IFERROR(VALUE(H79),(E79+F79+G79)/3))/4 + 0.4*I79,1)</f>
        <v/>
      </c>
      <c r="K79" s="60">
        <f>IF(OR(AND('User Input'!$B$6="M",Profiles!$AG80="M"),AND('User Input'!$B$6="F",Profiles!$AG80="F")),1,0)</f>
        <v/>
      </c>
      <c r="L79" s="60">
        <f>IF('User Input'!$B$27="Either",(IF(Profiles!V80&gt;=4,1,0.3)+IF(OR(Profiles!V80&lt;=2,ISNUMBER(SEARCH("Individual",Profiles!D80))),1,0.3))/2,IF('User Input'!$B$27="Team",IF(Profiles!V80&gt;=4,1,0.3),IF(OR(Profiles!V80&lt;=2,ISNUMBER(SEARCH("Individual",Profiles!D80))),1,0.3)))</f>
        <v/>
      </c>
      <c r="M79" s="60">
        <f>IF(IFERROR(MATCH(Profiles!W80,{"None","Light","Medium","Heavy"},0)-1,0)&lt;=IFERROR(MATCH('User Input'!$B$28,{"None","Light","Medium","Heavy"},0)-1,3),1,MAX(0,1-0.4*(IFERROR(MATCH(Profiles!W80,{"None","Light","Medium","Heavy"},0)-1,0)-IFERROR(MATCH('User Input'!$B$28,{"None","Light","Medium","Heavy"},0)-1,3))))</f>
        <v/>
      </c>
      <c r="N79" s="60">
        <f>IF('User Input'!$B$29="neutral",1,IF('User Input'!$B$29="essential",IF(ISNUMBER(SEARCH("Outdoor",Profiles!X80)),1,0.3),IF('User Input'!$B$29="nice",IF(ISNUMBER(SEARCH("Outdoor",Profiles!X80)),1,0.65),IF('User Input'!$B$29="indoor",IF(ISNUMBER(SEARCH("Indoor",Profiles!X80)),1,0.4),1))))</f>
        <v/>
      </c>
      <c r="O79" s="60">
        <f>IF('User Input'!$B$30="Yes",1,IF(Profiles!Y80="Yes",0,1))</f>
        <v/>
      </c>
      <c r="P79" s="60">
        <f>IF(IFERROR(MATCH(Profiles!Z80,{"Low","Medium","High"},0),2)&lt;=IFERROR(MATCH('User Input'!$B$31,{"Low","Medium","High"},0),2),1,MAX(0,1-0.4*(IFERROR(MATCH(Profiles!Z80,{"Low","Medium","High"},0),2)-IFERROR(MATCH('User Input'!$B$31,{"Low","Medium","High"},0),2))))</f>
        <v/>
      </c>
      <c r="Q79" s="60">
        <f>IF('User Input'!$B$32="Yes",IF(ISNUMBER(Profiles!AC80),Profiles!AC80/10,0.5),1)</f>
        <v/>
      </c>
      <c r="R79" s="61">
        <f>IF(OR(K79=0,O79=0),0,ROUND(MIN(100,100*(K79*0.1+L79*0.2+M79*0.2+N79*0.1+P79*0.15+Q79*0.25)*W79*X79*Y79*Z79),1))</f>
        <v/>
      </c>
      <c r="S79" s="61">
        <f>IF(R79=0,0,ROUND(0.5*J79+0.5*R79,1))</f>
        <v/>
      </c>
      <c r="T79" s="36">
        <f>J79-ROW()/1000000</f>
        <v/>
      </c>
      <c r="U79" s="36">
        <f>R79-ROW()/1000000</f>
        <v/>
      </c>
      <c r="V79" s="36">
        <f>S79-ROW()/1000000</f>
        <v/>
      </c>
      <c r="W79" s="36">
        <f>IF(OR(AND(OR(Profiles!D80="Team field",Profiles!D80="Team field contact",Profiles!D80="Team field stick"),'User Input'!$B$34="Yes"),AND(OR(Profiles!D80="Team court",Profiles!D80="Team court contact"),'User Input'!$B$35="Yes"),AND(Profiles!D80="Individual racquet",'User Input'!$B$36="Yes"),AND(OR(Profiles!D80="Combat striking",Profiles!D80="Combat grappling",Profiles!D80="Combat mixed"),'User Input'!$B$37="Yes"),AND(OR(Profiles!D80="Team water contact",Profiles!D80="Individual water"),'User Input'!$B$38="Yes"),AND(OR(Profiles!D80="Endurance individual",Profiles!D80="Endurance individual / pair",Profiles!D80="Endurance individual / pursuit",Profiles!D80="Endurance team / pair",Profiles!D80="Endurance multi"),'User Input'!$B$39="Yes"),AND(OR(Profiles!D80="Strength individual",Profiles!D80="Power-throw individual"),'User Input'!$B$40="Yes"),AND(OR(Profiles!D80="Individual technical",Profiles!D80="Individual aesthetic",Profiles!D80="Team precision"),'User Input'!$B$41="Yes")),1.15,1)</f>
        <v/>
      </c>
      <c r="X79" s="36">
        <f>IF('User Input'!$B$33&lt;&gt;"none",1,IF(IFERROR(VALUE(TRIM(MID(SUBSTITUTE(SUBSTITUTE(Profiles!AA80,"–","-"),"-",REPT(" ",100)),100,100)))&lt;=14,FALSE),0.7,1))</f>
        <v/>
      </c>
      <c r="Y79" s="36">
        <f>IF(OR('User Input'!$B$42="under30",'User Input'!$B$42=""),1,IF('User Input'!$B$42="30to45",IF((IFERROR(MATCH(Profiles!W80,{"None","Light","Medium","Heavy"},0)-1,0)+IFERROR(MATCH(Profiles!AB80,{"Low","Medium","High"},0)-1,0))&gt;=5,0.85,1),IF('User Input'!$B$42="46to60",IF((IFERROR(MATCH(Profiles!W80,{"None","Light","Medium","Heavy"},0)-1,0)+IFERROR(MATCH(Profiles!AB80,{"Low","Medium","High"},0)-1,0))&gt;=5,0.65,IF((IFERROR(MATCH(Profiles!W80,{"None","Light","Medium","Heavy"},0)-1,0)+IFERROR(MATCH(Profiles!AB80,{"Low","Medium","High"},0)-1,0))&gt;=4,0.8,IF((IFERROR(MATCH(Profiles!W80,{"None","Light","Medium","Heavy"},0)-1,0)+IFERROR(MATCH(Profiles!AB80,{"Low","Medium","High"},0)-1,0))&gt;=3,0.9,1))),IF((IFERROR(MATCH(Profiles!W80,{"None","Light","Medium","Heavy"},0)-1,0)+IFERROR(MATCH(Profiles!AB80,{"Low","Medium","High"},0)-1,0))&gt;=5,0.4,IF((IFERROR(MATCH(Profiles!W80,{"None","Light","Medium","Heavy"},0)-1,0)+IFERROR(MATCH(Profiles!AB80,{"Low","Medium","High"},0)-1,0))&gt;=4,0.6,IF((IFERROR(MATCH(Profiles!W80,{"None","Light","Medium","Heavy"},0)-1,0)+IFERROR(MATCH(Profiles!AB80,{"Low","Medium","High"},0)-1,0))&gt;=3,0.75,IF((IFERROR(MATCH(Profiles!W80,{"None","Light","Medium","Heavy"},0)-1,0)+IFERROR(MATCH(Profiles!AB80,{"Low","Medium","High"},0)-1,0))&gt;=2,0.85,1)))))))</f>
        <v/>
      </c>
      <c r="Z79" s="36">
        <f>IF(OR('User Input'!$B$43="none",'User Input'!$B$43=""),1,IF('User Input'!$B$43="minor",IF(IFERROR(MATCH(Profiles!W80,{"None","Light","Medium","Heavy"},0)-1,0)&gt;=3,0.7,IF(IFERROR(MATCH(Profiles!W80,{"None","Light","Medium","Heavy"},0)-1,0)&gt;=2,0.85,1)),IF('User Input'!$B$43="joint",IF(OR(IFERROR(MATCH(Profiles!W80,{"None","Light","Medium","Heavy"},0)-1,0)&gt;=3,IFERROR(MATCH(Profiles!AB80,{"Low","Medium","High"},0)-1,0)&gt;=2),0.5,IF(OR(IFERROR(MATCH(Profiles!W80,{"None","Light","Medium","Heavy"},0)-1,0)&gt;=2,IFERROR(MATCH(Profiles!AB80,{"Low","Medium","High"},0)-1,0)&gt;=1),0.75,1)),IF(OR(IFERROR(MATCH(Profiles!W80,{"None","Light","Medium","Heavy"},0)-1,0)&gt;=2,IFERROR(MATCH(Profiles!AB80,{"Low","Medium","High"},0)-1,0)&gt;=2),0.3,IF(OR(IFERROR(MATCH(Profiles!W80,{"None","Light","Medium","Heavy"},0)-1,0)&gt;=1,IFERROR(MATCH(Profiles!AB80,{"Low","Medium","High"},0)-1,0)&gt;=1),0.6,0.9)))))</f>
        <v/>
      </c>
    </row>
    <row r="80">
      <c r="A80" s="36">
        <f>Profiles!A81</f>
        <v/>
      </c>
      <c r="B80" s="36">
        <f>Profiles!B81</f>
        <v/>
      </c>
      <c r="C80" s="36">
        <f>Profiles!C81</f>
        <v/>
      </c>
      <c r="D80" s="36">
        <f>Profiles!D81</f>
        <v/>
      </c>
      <c r="E80" s="36">
        <f>IF(ISNUMBER(Profiles!E81),IF(ISNUMBER(Profiles!F81),MAX(0,1-(MAX(0,ABS('User Input'!$B$9-Profiles!E81)-Profiles!F81))/Profiles!F81/3),MAX(0,1-ABS('User Input'!$B$9-Profiles!E81)/(Profiles!E81*0.1)/3)),0.5)</f>
        <v/>
      </c>
      <c r="F80" s="36">
        <f>IF(ISNUMBER(Profiles!G81),IF(ISNUMBER(Profiles!H81),MAX(0,1-(MAX(0,ABS('User Input'!$B$10-Profiles!G81)-Profiles!H81))/Profiles!H81/3),MAX(0,1-ABS('User Input'!$B$10-Profiles!G81)/(Profiles!G81*0.15)/3)),0.5)</f>
        <v/>
      </c>
      <c r="G80" s="36">
        <f>IF(ISNUMBER(Profiles!J81),MAX(0,1-ABS('User Input'!$B$12-Profiles!J81)/5/3),0.5)</f>
        <v/>
      </c>
      <c r="H80" s="36">
        <f>IF(ISNUMBER(Profiles!K81),MAX(0,1-ABS('User Input'!$B$14-Profiles!K81)/0.03/3),"n/a")</f>
        <v/>
      </c>
      <c r="I80" s="36">
        <f>100*MAX(0,1-(MAX(0,Profiles!M81-'User Input'!$B$17)+0.5*MAX(0,'User Input'!$B$17-Profiles!M81)+MAX(0,Profiles!N81-'User Input'!$B$18)+0.5*MAX(0,'User Input'!$B$18-Profiles!N81)+MAX(0,Profiles!O81-'User Input'!$B$19)+0.5*MAX(0,'User Input'!$B$19-Profiles!O81)+MAX(0,Profiles!P81-'User Input'!$B$20)+0.5*MAX(0,'User Input'!$B$20-Profiles!P81)+MAX(0,Profiles!Q81-'User Input'!$B$21)+0.5*MAX(0,'User Input'!$B$21-Profiles!Q81)+MAX(0,Profiles!S81-'User Input'!$B$22)+0.5*MAX(0,'User Input'!$B$22-Profiles!S81)+MAX(0,Profiles!T81-'User Input'!$B$23)+0.5*MAX(0,'User Input'!$B$23-Profiles!T81)+MAX(0,Profiles!U81-'User Input'!$B$24)+0.5*MAX(0,'User Input'!$B$24-Profiles!U81))/40)</f>
        <v/>
      </c>
      <c r="J80" s="36">
        <f>ROUND(60*(E80+F80+G80+IFERROR(VALUE(H80),(E80+F80+G80)/3))/4 + 0.4*I80,1)</f>
        <v/>
      </c>
      <c r="K80" s="36">
        <f>IF(OR(AND('User Input'!$B$6="M",Profiles!$AG81="M"),AND('User Input'!$B$6="F",Profiles!$AG81="F")),1,0)</f>
        <v/>
      </c>
      <c r="L80" s="36">
        <f>IF('User Input'!$B$27="Either",(IF(Profiles!V81&gt;=4,1,0.3)+IF(OR(Profiles!V81&lt;=2,ISNUMBER(SEARCH("Individual",Profiles!D81))),1,0.3))/2,IF('User Input'!$B$27="Team",IF(Profiles!V81&gt;=4,1,0.3),IF(OR(Profiles!V81&lt;=2,ISNUMBER(SEARCH("Individual",Profiles!D81))),1,0.3)))</f>
        <v/>
      </c>
      <c r="M80" s="36">
        <f>IF(IFERROR(MATCH(Profiles!W81,{"None","Light","Medium","Heavy"},0)-1,0)&lt;=IFERROR(MATCH('User Input'!$B$28,{"None","Light","Medium","Heavy"},0)-1,3),1,MAX(0,1-0.4*(IFERROR(MATCH(Profiles!W81,{"None","Light","Medium","Heavy"},0)-1,0)-IFERROR(MATCH('User Input'!$B$28,{"None","Light","Medium","Heavy"},0)-1,3))))</f>
        <v/>
      </c>
      <c r="N80" s="36">
        <f>IF('User Input'!$B$29="neutral",1,IF('User Input'!$B$29="essential",IF(ISNUMBER(SEARCH("Outdoor",Profiles!X81)),1,0.3),IF('User Input'!$B$29="nice",IF(ISNUMBER(SEARCH("Outdoor",Profiles!X81)),1,0.65),IF('User Input'!$B$29="indoor",IF(ISNUMBER(SEARCH("Indoor",Profiles!X81)),1,0.4),1))))</f>
        <v/>
      </c>
      <c r="O80" s="36">
        <f>IF('User Input'!$B$30="Yes",1,IF(Profiles!Y81="Yes",0,1))</f>
        <v/>
      </c>
      <c r="P80" s="36">
        <f>IF(IFERROR(MATCH(Profiles!Z81,{"Low","Medium","High"},0),2)&lt;=IFERROR(MATCH('User Input'!$B$31,{"Low","Medium","High"},0),2),1,MAX(0,1-0.4*(IFERROR(MATCH(Profiles!Z81,{"Low","Medium","High"},0),2)-IFERROR(MATCH('User Input'!$B$31,{"Low","Medium","High"},0),2))))</f>
        <v/>
      </c>
      <c r="Q80" s="36">
        <f>IF('User Input'!$B$32="Yes",IF(ISNUMBER(Profiles!AC81),Profiles!AC81/10,0.5),1)</f>
        <v/>
      </c>
      <c r="R80" s="36">
        <f>IF(OR(K80=0,O80=0),0,ROUND(MIN(100,100*(K80*0.1+L80*0.2+M80*0.2+N80*0.1+P80*0.15+Q80*0.25)*W80*X80*Y80*Z80),1))</f>
        <v/>
      </c>
      <c r="S80" s="36">
        <f>IF(R80=0,0,ROUND(0.5*J80+0.5*R80,1))</f>
        <v/>
      </c>
      <c r="T80" s="36">
        <f>J80-ROW()/1000000</f>
        <v/>
      </c>
      <c r="U80" s="36">
        <f>R80-ROW()/1000000</f>
        <v/>
      </c>
      <c r="V80" s="36">
        <f>S80-ROW()/1000000</f>
        <v/>
      </c>
      <c r="W80" s="36">
        <f>IF(OR(AND(OR(Profiles!D81="Team field",Profiles!D81="Team field contact",Profiles!D81="Team field stick"),'User Input'!$B$34="Yes"),AND(OR(Profiles!D81="Team court",Profiles!D81="Team court contact"),'User Input'!$B$35="Yes"),AND(Profiles!D81="Individual racquet",'User Input'!$B$36="Yes"),AND(OR(Profiles!D81="Combat striking",Profiles!D81="Combat grappling",Profiles!D81="Combat mixed"),'User Input'!$B$37="Yes"),AND(OR(Profiles!D81="Team water contact",Profiles!D81="Individual water"),'User Input'!$B$38="Yes"),AND(OR(Profiles!D81="Endurance individual",Profiles!D81="Endurance individual / pair",Profiles!D81="Endurance individual / pursuit",Profiles!D81="Endurance team / pair",Profiles!D81="Endurance multi"),'User Input'!$B$39="Yes"),AND(OR(Profiles!D81="Strength individual",Profiles!D81="Power-throw individual"),'User Input'!$B$40="Yes"),AND(OR(Profiles!D81="Individual technical",Profiles!D81="Individual aesthetic",Profiles!D81="Team precision"),'User Input'!$B$41="Yes")),1.15,1)</f>
        <v/>
      </c>
      <c r="X80" s="36">
        <f>IF('User Input'!$B$33&lt;&gt;"none",1,IF(IFERROR(VALUE(TRIM(MID(SUBSTITUTE(SUBSTITUTE(Profiles!AA81,"–","-"),"-",REPT(" ",100)),100,100)))&lt;=14,FALSE),0.7,1))</f>
        <v/>
      </c>
      <c r="Y80" s="36">
        <f>IF(OR('User Input'!$B$42="under30",'User Input'!$B$42=""),1,IF('User Input'!$B$42="30to45",IF((IFERROR(MATCH(Profiles!W81,{"None","Light","Medium","Heavy"},0)-1,0)+IFERROR(MATCH(Profiles!AB81,{"Low","Medium","High"},0)-1,0))&gt;=5,0.85,1),IF('User Input'!$B$42="46to60",IF((IFERROR(MATCH(Profiles!W81,{"None","Light","Medium","Heavy"},0)-1,0)+IFERROR(MATCH(Profiles!AB81,{"Low","Medium","High"},0)-1,0))&gt;=5,0.65,IF((IFERROR(MATCH(Profiles!W81,{"None","Light","Medium","Heavy"},0)-1,0)+IFERROR(MATCH(Profiles!AB81,{"Low","Medium","High"},0)-1,0))&gt;=4,0.8,IF((IFERROR(MATCH(Profiles!W81,{"None","Light","Medium","Heavy"},0)-1,0)+IFERROR(MATCH(Profiles!AB81,{"Low","Medium","High"},0)-1,0))&gt;=3,0.9,1))),IF((IFERROR(MATCH(Profiles!W81,{"None","Light","Medium","Heavy"},0)-1,0)+IFERROR(MATCH(Profiles!AB81,{"Low","Medium","High"},0)-1,0))&gt;=5,0.4,IF((IFERROR(MATCH(Profiles!W81,{"None","Light","Medium","Heavy"},0)-1,0)+IFERROR(MATCH(Profiles!AB81,{"Low","Medium","High"},0)-1,0))&gt;=4,0.6,IF((IFERROR(MATCH(Profiles!W81,{"None","Light","Medium","Heavy"},0)-1,0)+IFERROR(MATCH(Profiles!AB81,{"Low","Medium","High"},0)-1,0))&gt;=3,0.75,IF((IFERROR(MATCH(Profiles!W81,{"None","Light","Medium","Heavy"},0)-1,0)+IFERROR(MATCH(Profiles!AB81,{"Low","Medium","High"},0)-1,0))&gt;=2,0.85,1)))))))</f>
        <v/>
      </c>
      <c r="Z80" s="36">
        <f>IF(OR('User Input'!$B$43="none",'User Input'!$B$43=""),1,IF('User Input'!$B$43="minor",IF(IFERROR(MATCH(Profiles!W81,{"None","Light","Medium","Heavy"},0)-1,0)&gt;=3,0.7,IF(IFERROR(MATCH(Profiles!W81,{"None","Light","Medium","Heavy"},0)-1,0)&gt;=2,0.85,1)),IF('User Input'!$B$43="joint",IF(OR(IFERROR(MATCH(Profiles!W81,{"None","Light","Medium","Heavy"},0)-1,0)&gt;=3,IFERROR(MATCH(Profiles!AB81,{"Low","Medium","High"},0)-1,0)&gt;=2),0.5,IF(OR(IFERROR(MATCH(Profiles!W81,{"None","Light","Medium","Heavy"},0)-1,0)&gt;=2,IFERROR(MATCH(Profiles!AB81,{"Low","Medium","High"},0)-1,0)&gt;=1),0.75,1)),IF(OR(IFERROR(MATCH(Profiles!W81,{"None","Light","Medium","Heavy"},0)-1,0)&gt;=2,IFERROR(MATCH(Profiles!AB81,{"Low","Medium","High"},0)-1,0)&gt;=2),0.3,IF(OR(IFERROR(MATCH(Profiles!W81,{"None","Light","Medium","Heavy"},0)-1,0)&gt;=1,IFERROR(MATCH(Profiles!AB81,{"Low","Medium","High"},0)-1,0)&gt;=1),0.6,0.9)))))</f>
        <v/>
      </c>
    </row>
    <row r="81">
      <c r="A81" s="36">
        <f>Profiles!A82</f>
        <v/>
      </c>
      <c r="B81" s="36">
        <f>Profiles!B82</f>
        <v/>
      </c>
      <c r="C81" s="36">
        <f>Profiles!C82</f>
        <v/>
      </c>
      <c r="D81" s="36">
        <f>Profiles!D82</f>
        <v/>
      </c>
      <c r="E81" s="36">
        <f>IF(ISNUMBER(Profiles!E82),IF(ISNUMBER(Profiles!F82),MAX(0,1-(MAX(0,ABS('User Input'!$B$9-Profiles!E82)-Profiles!F82))/Profiles!F82/3),MAX(0,1-ABS('User Input'!$B$9-Profiles!E82)/(Profiles!E82*0.1)/3)),0.5)</f>
        <v/>
      </c>
      <c r="F81" s="36">
        <f>IF(ISNUMBER(Profiles!G82),IF(ISNUMBER(Profiles!H82),MAX(0,1-(MAX(0,ABS('User Input'!$B$10-Profiles!G82)-Profiles!H82))/Profiles!H82/3),MAX(0,1-ABS('User Input'!$B$10-Profiles!G82)/(Profiles!G82*0.15)/3)),0.5)</f>
        <v/>
      </c>
      <c r="G81" s="36">
        <f>IF(ISNUMBER(Profiles!J82),MAX(0,1-ABS('User Input'!$B$12-Profiles!J82)/5/3),0.5)</f>
        <v/>
      </c>
      <c r="H81" s="36">
        <f>IF(ISNUMBER(Profiles!K82),MAX(0,1-ABS('User Input'!$B$14-Profiles!K82)/0.03/3),"n/a")</f>
        <v/>
      </c>
      <c r="I81" s="36">
        <f>100*MAX(0,1-(MAX(0,Profiles!M82-'User Input'!$B$17)+0.5*MAX(0,'User Input'!$B$17-Profiles!M82)+MAX(0,Profiles!N82-'User Input'!$B$18)+0.5*MAX(0,'User Input'!$B$18-Profiles!N82)+MAX(0,Profiles!O82-'User Input'!$B$19)+0.5*MAX(0,'User Input'!$B$19-Profiles!O82)+MAX(0,Profiles!P82-'User Input'!$B$20)+0.5*MAX(0,'User Input'!$B$20-Profiles!P82)+MAX(0,Profiles!Q82-'User Input'!$B$21)+0.5*MAX(0,'User Input'!$B$21-Profiles!Q82)+MAX(0,Profiles!S82-'User Input'!$B$22)+0.5*MAX(0,'User Input'!$B$22-Profiles!S82)+MAX(0,Profiles!T82-'User Input'!$B$23)+0.5*MAX(0,'User Input'!$B$23-Profiles!T82)+MAX(0,Profiles!U82-'User Input'!$B$24)+0.5*MAX(0,'User Input'!$B$24-Profiles!U82))/40)</f>
        <v/>
      </c>
      <c r="J81" s="36">
        <f>ROUND(60*(E81+F81+G81+IFERROR(VALUE(H81),(E81+F81+G81)/3))/4 + 0.4*I81,1)</f>
        <v/>
      </c>
      <c r="K81" s="36">
        <f>IF(OR(AND('User Input'!$B$6="M",Profiles!$AG82="M"),AND('User Input'!$B$6="F",Profiles!$AG82="F")),1,0)</f>
        <v/>
      </c>
      <c r="L81" s="36">
        <f>IF('User Input'!$B$27="Either",(IF(Profiles!V82&gt;=4,1,0.3)+IF(OR(Profiles!V82&lt;=2,ISNUMBER(SEARCH("Individual",Profiles!D82))),1,0.3))/2,IF('User Input'!$B$27="Team",IF(Profiles!V82&gt;=4,1,0.3),IF(OR(Profiles!V82&lt;=2,ISNUMBER(SEARCH("Individual",Profiles!D82))),1,0.3)))</f>
        <v/>
      </c>
      <c r="M81" s="36">
        <f>IF(IFERROR(MATCH(Profiles!W82,{"None","Light","Medium","Heavy"},0)-1,0)&lt;=IFERROR(MATCH('User Input'!$B$28,{"None","Light","Medium","Heavy"},0)-1,3),1,MAX(0,1-0.4*(IFERROR(MATCH(Profiles!W82,{"None","Light","Medium","Heavy"},0)-1,0)-IFERROR(MATCH('User Input'!$B$28,{"None","Light","Medium","Heavy"},0)-1,3))))</f>
        <v/>
      </c>
      <c r="N81" s="36">
        <f>IF('User Input'!$B$29="neutral",1,IF('User Input'!$B$29="essential",IF(ISNUMBER(SEARCH("Outdoor",Profiles!X82)),1,0.3),IF('User Input'!$B$29="nice",IF(ISNUMBER(SEARCH("Outdoor",Profiles!X82)),1,0.65),IF('User Input'!$B$29="indoor",IF(ISNUMBER(SEARCH("Indoor",Profiles!X82)),1,0.4),1))))</f>
        <v/>
      </c>
      <c r="O81" s="36">
        <f>IF('User Input'!$B$30="Yes",1,IF(Profiles!Y82="Yes",0,1))</f>
        <v/>
      </c>
      <c r="P81" s="36">
        <f>IF(IFERROR(MATCH(Profiles!Z82,{"Low","Medium","High"},0),2)&lt;=IFERROR(MATCH('User Input'!$B$31,{"Low","Medium","High"},0),2),1,MAX(0,1-0.4*(IFERROR(MATCH(Profiles!Z82,{"Low","Medium","High"},0),2)-IFERROR(MATCH('User Input'!$B$31,{"Low","Medium","High"},0),2))))</f>
        <v/>
      </c>
      <c r="Q81" s="36">
        <f>IF('User Input'!$B$32="Yes",IF(ISNUMBER(Profiles!AC82),Profiles!AC82/10,0.5),1)</f>
        <v/>
      </c>
      <c r="R81" s="36">
        <f>IF(OR(K81=0,O81=0),0,ROUND(MIN(100,100*(K81*0.1+L81*0.2+M81*0.2+N81*0.1+P81*0.15+Q81*0.25)*W81*X81*Y81*Z81),1))</f>
        <v/>
      </c>
      <c r="S81" s="36">
        <f>IF(R81=0,0,ROUND(0.5*J81+0.5*R81,1))</f>
        <v/>
      </c>
      <c r="T81" s="36">
        <f>J81-ROW()/1000000</f>
        <v/>
      </c>
      <c r="U81" s="36">
        <f>R81-ROW()/1000000</f>
        <v/>
      </c>
      <c r="V81" s="36">
        <f>S81-ROW()/1000000</f>
        <v/>
      </c>
      <c r="W81" s="36">
        <f>IF(OR(AND(OR(Profiles!D82="Team field",Profiles!D82="Team field contact",Profiles!D82="Team field stick"),'User Input'!$B$34="Yes"),AND(OR(Profiles!D82="Team court",Profiles!D82="Team court contact"),'User Input'!$B$35="Yes"),AND(Profiles!D82="Individual racquet",'User Input'!$B$36="Yes"),AND(OR(Profiles!D82="Combat striking",Profiles!D82="Combat grappling",Profiles!D82="Combat mixed"),'User Input'!$B$37="Yes"),AND(OR(Profiles!D82="Team water contact",Profiles!D82="Individual water"),'User Input'!$B$38="Yes"),AND(OR(Profiles!D82="Endurance individual",Profiles!D82="Endurance individual / pair",Profiles!D82="Endurance individual / pursuit",Profiles!D82="Endurance team / pair",Profiles!D82="Endurance multi"),'User Input'!$B$39="Yes"),AND(OR(Profiles!D82="Strength individual",Profiles!D82="Power-throw individual"),'User Input'!$B$40="Yes"),AND(OR(Profiles!D82="Individual technical",Profiles!D82="Individual aesthetic",Profiles!D82="Team precision"),'User Input'!$B$41="Yes")),1.15,1)</f>
        <v/>
      </c>
      <c r="X81" s="36">
        <f>IF('User Input'!$B$33&lt;&gt;"none",1,IF(IFERROR(VALUE(TRIM(MID(SUBSTITUTE(SUBSTITUTE(Profiles!AA82,"–","-"),"-",REPT(" ",100)),100,100)))&lt;=14,FALSE),0.7,1))</f>
        <v/>
      </c>
      <c r="Y81" s="36">
        <f>IF(OR('User Input'!$B$42="under30",'User Input'!$B$42=""),1,IF('User Input'!$B$42="30to45",IF((IFERROR(MATCH(Profiles!W82,{"None","Light","Medium","Heavy"},0)-1,0)+IFERROR(MATCH(Profiles!AB82,{"Low","Medium","High"},0)-1,0))&gt;=5,0.85,1),IF('User Input'!$B$42="46to60",IF((IFERROR(MATCH(Profiles!W82,{"None","Light","Medium","Heavy"},0)-1,0)+IFERROR(MATCH(Profiles!AB82,{"Low","Medium","High"},0)-1,0))&gt;=5,0.65,IF((IFERROR(MATCH(Profiles!W82,{"None","Light","Medium","Heavy"},0)-1,0)+IFERROR(MATCH(Profiles!AB82,{"Low","Medium","High"},0)-1,0))&gt;=4,0.8,IF((IFERROR(MATCH(Profiles!W82,{"None","Light","Medium","Heavy"},0)-1,0)+IFERROR(MATCH(Profiles!AB82,{"Low","Medium","High"},0)-1,0))&gt;=3,0.9,1))),IF((IFERROR(MATCH(Profiles!W82,{"None","Light","Medium","Heavy"},0)-1,0)+IFERROR(MATCH(Profiles!AB82,{"Low","Medium","High"},0)-1,0))&gt;=5,0.4,IF((IFERROR(MATCH(Profiles!W82,{"None","Light","Medium","Heavy"},0)-1,0)+IFERROR(MATCH(Profiles!AB82,{"Low","Medium","High"},0)-1,0))&gt;=4,0.6,IF((IFERROR(MATCH(Profiles!W82,{"None","Light","Medium","Heavy"},0)-1,0)+IFERROR(MATCH(Profiles!AB82,{"Low","Medium","High"},0)-1,0))&gt;=3,0.75,IF((IFERROR(MATCH(Profiles!W82,{"None","Light","Medium","Heavy"},0)-1,0)+IFERROR(MATCH(Profiles!AB82,{"Low","Medium","High"},0)-1,0))&gt;=2,0.85,1)))))))</f>
        <v/>
      </c>
      <c r="Z81" s="36">
        <f>IF(OR('User Input'!$B$43="none",'User Input'!$B$43=""),1,IF('User Input'!$B$43="minor",IF(IFERROR(MATCH(Profiles!W82,{"None","Light","Medium","Heavy"},0)-1,0)&gt;=3,0.7,IF(IFERROR(MATCH(Profiles!W82,{"None","Light","Medium","Heavy"},0)-1,0)&gt;=2,0.85,1)),IF('User Input'!$B$43="joint",IF(OR(IFERROR(MATCH(Profiles!W82,{"None","Light","Medium","Heavy"},0)-1,0)&gt;=3,IFERROR(MATCH(Profiles!AB82,{"Low","Medium","High"},0)-1,0)&gt;=2),0.5,IF(OR(IFERROR(MATCH(Profiles!W82,{"None","Light","Medium","Heavy"},0)-1,0)&gt;=2,IFERROR(MATCH(Profiles!AB82,{"Low","Medium","High"},0)-1,0)&gt;=1),0.75,1)),IF(OR(IFERROR(MATCH(Profiles!W82,{"None","Light","Medium","Heavy"},0)-1,0)&gt;=2,IFERROR(MATCH(Profiles!AB82,{"Low","Medium","High"},0)-1,0)&gt;=2),0.3,IF(OR(IFERROR(MATCH(Profiles!W82,{"None","Light","Medium","Heavy"},0)-1,0)&gt;=1,IFERROR(MATCH(Profiles!AB82,{"Low","Medium","High"},0)-1,0)&gt;=1),0.6,0.9)))))</f>
        <v/>
      </c>
    </row>
    <row r="82">
      <c r="A82" s="36">
        <f>Profiles!A83</f>
        <v/>
      </c>
      <c r="B82" s="36">
        <f>Profiles!B83</f>
        <v/>
      </c>
      <c r="C82" s="36">
        <f>Profiles!C83</f>
        <v/>
      </c>
      <c r="D82" s="36">
        <f>Profiles!D83</f>
        <v/>
      </c>
      <c r="E82" s="36">
        <f>IF(ISNUMBER(Profiles!E83),IF(ISNUMBER(Profiles!F83),MAX(0,1-(MAX(0,ABS('User Input'!$B$9-Profiles!E83)-Profiles!F83))/Profiles!F83/3),MAX(0,1-ABS('User Input'!$B$9-Profiles!E83)/(Profiles!E83*0.1)/3)),0.5)</f>
        <v/>
      </c>
      <c r="F82" s="36">
        <f>IF(ISNUMBER(Profiles!G83),IF(ISNUMBER(Profiles!H83),MAX(0,1-(MAX(0,ABS('User Input'!$B$10-Profiles!G83)-Profiles!H83))/Profiles!H83/3),MAX(0,1-ABS('User Input'!$B$10-Profiles!G83)/(Profiles!G83*0.15)/3)),0.5)</f>
        <v/>
      </c>
      <c r="G82" s="36">
        <f>IF(ISNUMBER(Profiles!J83),MAX(0,1-ABS('User Input'!$B$12-Profiles!J83)/5/3),0.5)</f>
        <v/>
      </c>
      <c r="H82" s="36">
        <f>IF(ISNUMBER(Profiles!K83),MAX(0,1-ABS('User Input'!$B$14-Profiles!K83)/0.03/3),"n/a")</f>
        <v/>
      </c>
      <c r="I82" s="36">
        <f>100*MAX(0,1-(MAX(0,Profiles!M83-'User Input'!$B$17)+0.5*MAX(0,'User Input'!$B$17-Profiles!M83)+MAX(0,Profiles!N83-'User Input'!$B$18)+0.5*MAX(0,'User Input'!$B$18-Profiles!N83)+MAX(0,Profiles!O83-'User Input'!$B$19)+0.5*MAX(0,'User Input'!$B$19-Profiles!O83)+MAX(0,Profiles!P83-'User Input'!$B$20)+0.5*MAX(0,'User Input'!$B$20-Profiles!P83)+MAX(0,Profiles!Q83-'User Input'!$B$21)+0.5*MAX(0,'User Input'!$B$21-Profiles!Q83)+MAX(0,Profiles!S83-'User Input'!$B$22)+0.5*MAX(0,'User Input'!$B$22-Profiles!S83)+MAX(0,Profiles!T83-'User Input'!$B$23)+0.5*MAX(0,'User Input'!$B$23-Profiles!T83)+MAX(0,Profiles!U83-'User Input'!$B$24)+0.5*MAX(0,'User Input'!$B$24-Profiles!U83))/40)</f>
        <v/>
      </c>
      <c r="J82" s="36">
        <f>ROUND(60*(E82+F82+G82+IFERROR(VALUE(H82),(E82+F82+G82)/3))/4 + 0.4*I82,1)</f>
        <v/>
      </c>
      <c r="K82" s="36">
        <f>IF(OR(AND('User Input'!$B$6="M",Profiles!$AG83="M"),AND('User Input'!$B$6="F",Profiles!$AG83="F")),1,0)</f>
        <v/>
      </c>
      <c r="L82" s="36">
        <f>IF('User Input'!$B$27="Either",(IF(Profiles!V83&gt;=4,1,0.3)+IF(OR(Profiles!V83&lt;=2,ISNUMBER(SEARCH("Individual",Profiles!D83))),1,0.3))/2,IF('User Input'!$B$27="Team",IF(Profiles!V83&gt;=4,1,0.3),IF(OR(Profiles!V83&lt;=2,ISNUMBER(SEARCH("Individual",Profiles!D83))),1,0.3)))</f>
        <v/>
      </c>
      <c r="M82" s="36">
        <f>IF(IFERROR(MATCH(Profiles!W83,{"None","Light","Medium","Heavy"},0)-1,0)&lt;=IFERROR(MATCH('User Input'!$B$28,{"None","Light","Medium","Heavy"},0)-1,3),1,MAX(0,1-0.4*(IFERROR(MATCH(Profiles!W83,{"None","Light","Medium","Heavy"},0)-1,0)-IFERROR(MATCH('User Input'!$B$28,{"None","Light","Medium","Heavy"},0)-1,3))))</f>
        <v/>
      </c>
      <c r="N82" s="36">
        <f>IF('User Input'!$B$29="neutral",1,IF('User Input'!$B$29="essential",IF(ISNUMBER(SEARCH("Outdoor",Profiles!X83)),1,0.3),IF('User Input'!$B$29="nice",IF(ISNUMBER(SEARCH("Outdoor",Profiles!X83)),1,0.65),IF('User Input'!$B$29="indoor",IF(ISNUMBER(SEARCH("Indoor",Profiles!X83)),1,0.4),1))))</f>
        <v/>
      </c>
      <c r="O82" s="36">
        <f>IF('User Input'!$B$30="Yes",1,IF(Profiles!Y83="Yes",0,1))</f>
        <v/>
      </c>
      <c r="P82" s="36">
        <f>IF(IFERROR(MATCH(Profiles!Z83,{"Low","Medium","High"},0),2)&lt;=IFERROR(MATCH('User Input'!$B$31,{"Low","Medium","High"},0),2),1,MAX(0,1-0.4*(IFERROR(MATCH(Profiles!Z83,{"Low","Medium","High"},0),2)-IFERROR(MATCH('User Input'!$B$31,{"Low","Medium","High"},0),2))))</f>
        <v/>
      </c>
      <c r="Q82" s="36">
        <f>IF('User Input'!$B$32="Yes",IF(ISNUMBER(Profiles!AC83),Profiles!AC83/10,0.5),1)</f>
        <v/>
      </c>
      <c r="R82" s="36">
        <f>IF(OR(K82=0,O82=0),0,ROUND(MIN(100,100*(K82*0.1+L82*0.2+M82*0.2+N82*0.1+P82*0.15+Q82*0.25)*W82*X82*Y82*Z82),1))</f>
        <v/>
      </c>
      <c r="S82" s="36">
        <f>IF(R82=0,0,ROUND(0.5*J82+0.5*R82,1))</f>
        <v/>
      </c>
      <c r="T82" s="36">
        <f>J82-ROW()/1000000</f>
        <v/>
      </c>
      <c r="U82" s="36">
        <f>R82-ROW()/1000000</f>
        <v/>
      </c>
      <c r="V82" s="36">
        <f>S82-ROW()/1000000</f>
        <v/>
      </c>
      <c r="W82" s="36">
        <f>IF(OR(AND(OR(Profiles!D83="Team field",Profiles!D83="Team field contact",Profiles!D83="Team field stick"),'User Input'!$B$34="Yes"),AND(OR(Profiles!D83="Team court",Profiles!D83="Team court contact"),'User Input'!$B$35="Yes"),AND(Profiles!D83="Individual racquet",'User Input'!$B$36="Yes"),AND(OR(Profiles!D83="Combat striking",Profiles!D83="Combat grappling",Profiles!D83="Combat mixed"),'User Input'!$B$37="Yes"),AND(OR(Profiles!D83="Team water contact",Profiles!D83="Individual water"),'User Input'!$B$38="Yes"),AND(OR(Profiles!D83="Endurance individual",Profiles!D83="Endurance individual / pair",Profiles!D83="Endurance individual / pursuit",Profiles!D83="Endurance team / pair",Profiles!D83="Endurance multi"),'User Input'!$B$39="Yes"),AND(OR(Profiles!D83="Strength individual",Profiles!D83="Power-throw individual"),'User Input'!$B$40="Yes"),AND(OR(Profiles!D83="Individual technical",Profiles!D83="Individual aesthetic",Profiles!D83="Team precision"),'User Input'!$B$41="Yes")),1.15,1)</f>
        <v/>
      </c>
      <c r="X82" s="36">
        <f>IF('User Input'!$B$33&lt;&gt;"none",1,IF(IFERROR(VALUE(TRIM(MID(SUBSTITUTE(SUBSTITUTE(Profiles!AA83,"–","-"),"-",REPT(" ",100)),100,100)))&lt;=14,FALSE),0.7,1))</f>
        <v/>
      </c>
      <c r="Y82" s="36">
        <f>IF(OR('User Input'!$B$42="under30",'User Input'!$B$42=""),1,IF('User Input'!$B$42="30to45",IF((IFERROR(MATCH(Profiles!W83,{"None","Light","Medium","Heavy"},0)-1,0)+IFERROR(MATCH(Profiles!AB83,{"Low","Medium","High"},0)-1,0))&gt;=5,0.85,1),IF('User Input'!$B$42="46to60",IF((IFERROR(MATCH(Profiles!W83,{"None","Light","Medium","Heavy"},0)-1,0)+IFERROR(MATCH(Profiles!AB83,{"Low","Medium","High"},0)-1,0))&gt;=5,0.65,IF((IFERROR(MATCH(Profiles!W83,{"None","Light","Medium","Heavy"},0)-1,0)+IFERROR(MATCH(Profiles!AB83,{"Low","Medium","High"},0)-1,0))&gt;=4,0.8,IF((IFERROR(MATCH(Profiles!W83,{"None","Light","Medium","Heavy"},0)-1,0)+IFERROR(MATCH(Profiles!AB83,{"Low","Medium","High"},0)-1,0))&gt;=3,0.9,1))),IF((IFERROR(MATCH(Profiles!W83,{"None","Light","Medium","Heavy"},0)-1,0)+IFERROR(MATCH(Profiles!AB83,{"Low","Medium","High"},0)-1,0))&gt;=5,0.4,IF((IFERROR(MATCH(Profiles!W83,{"None","Light","Medium","Heavy"},0)-1,0)+IFERROR(MATCH(Profiles!AB83,{"Low","Medium","High"},0)-1,0))&gt;=4,0.6,IF((IFERROR(MATCH(Profiles!W83,{"None","Light","Medium","Heavy"},0)-1,0)+IFERROR(MATCH(Profiles!AB83,{"Low","Medium","High"},0)-1,0))&gt;=3,0.75,IF((IFERROR(MATCH(Profiles!W83,{"None","Light","Medium","Heavy"},0)-1,0)+IFERROR(MATCH(Profiles!AB83,{"Low","Medium","High"},0)-1,0))&gt;=2,0.85,1)))))))</f>
        <v/>
      </c>
      <c r="Z82" s="36">
        <f>IF(OR('User Input'!$B$43="none",'User Input'!$B$43=""),1,IF('User Input'!$B$43="minor",IF(IFERROR(MATCH(Profiles!W83,{"None","Light","Medium","Heavy"},0)-1,0)&gt;=3,0.7,IF(IFERROR(MATCH(Profiles!W83,{"None","Light","Medium","Heavy"},0)-1,0)&gt;=2,0.85,1)),IF('User Input'!$B$43="joint",IF(OR(IFERROR(MATCH(Profiles!W83,{"None","Light","Medium","Heavy"},0)-1,0)&gt;=3,IFERROR(MATCH(Profiles!AB83,{"Low","Medium","High"},0)-1,0)&gt;=2),0.5,IF(OR(IFERROR(MATCH(Profiles!W83,{"None","Light","Medium","Heavy"},0)-1,0)&gt;=2,IFERROR(MATCH(Profiles!AB83,{"Low","Medium","High"},0)-1,0)&gt;=1),0.75,1)),IF(OR(IFERROR(MATCH(Profiles!W83,{"None","Light","Medium","Heavy"},0)-1,0)&gt;=2,IFERROR(MATCH(Profiles!AB83,{"Low","Medium","High"},0)-1,0)&gt;=2),0.3,IF(OR(IFERROR(MATCH(Profiles!W83,{"None","Light","Medium","Heavy"},0)-1,0)&gt;=1,IFERROR(MATCH(Profiles!AB83,{"Low","Medium","High"},0)-1,0)&gt;=1),0.6,0.9)))))</f>
        <v/>
      </c>
    </row>
    <row r="83">
      <c r="A83" s="36">
        <f>Profiles!A84</f>
        <v/>
      </c>
      <c r="B83" s="36">
        <f>Profiles!B84</f>
        <v/>
      </c>
      <c r="C83" s="36">
        <f>Profiles!C84</f>
        <v/>
      </c>
      <c r="D83" s="36">
        <f>Profiles!D84</f>
        <v/>
      </c>
      <c r="E83" s="36">
        <f>IF(ISNUMBER(Profiles!E84),IF(ISNUMBER(Profiles!F84),MAX(0,1-(MAX(0,ABS('User Input'!$B$9-Profiles!E84)-Profiles!F84))/Profiles!F84/3),MAX(0,1-ABS('User Input'!$B$9-Profiles!E84)/(Profiles!E84*0.1)/3)),0.5)</f>
        <v/>
      </c>
      <c r="F83" s="36">
        <f>IF(ISNUMBER(Profiles!G84),IF(ISNUMBER(Profiles!H84),MAX(0,1-(MAX(0,ABS('User Input'!$B$10-Profiles!G84)-Profiles!H84))/Profiles!H84/3),MAX(0,1-ABS('User Input'!$B$10-Profiles!G84)/(Profiles!G84*0.15)/3)),0.5)</f>
        <v/>
      </c>
      <c r="G83" s="36">
        <f>IF(ISNUMBER(Profiles!J84),MAX(0,1-ABS('User Input'!$B$12-Profiles!J84)/5/3),0.5)</f>
        <v/>
      </c>
      <c r="H83" s="36">
        <f>IF(ISNUMBER(Profiles!K84),MAX(0,1-ABS('User Input'!$B$14-Profiles!K84)/0.03/3),"n/a")</f>
        <v/>
      </c>
      <c r="I83" s="36">
        <f>100*MAX(0,1-(MAX(0,Profiles!M84-'User Input'!$B$17)+0.5*MAX(0,'User Input'!$B$17-Profiles!M84)+MAX(0,Profiles!N84-'User Input'!$B$18)+0.5*MAX(0,'User Input'!$B$18-Profiles!N84)+MAX(0,Profiles!O84-'User Input'!$B$19)+0.5*MAX(0,'User Input'!$B$19-Profiles!O84)+MAX(0,Profiles!P84-'User Input'!$B$20)+0.5*MAX(0,'User Input'!$B$20-Profiles!P84)+MAX(0,Profiles!Q84-'User Input'!$B$21)+0.5*MAX(0,'User Input'!$B$21-Profiles!Q84)+MAX(0,Profiles!S84-'User Input'!$B$22)+0.5*MAX(0,'User Input'!$B$22-Profiles!S84)+MAX(0,Profiles!T84-'User Input'!$B$23)+0.5*MAX(0,'User Input'!$B$23-Profiles!T84)+MAX(0,Profiles!U84-'User Input'!$B$24)+0.5*MAX(0,'User Input'!$B$24-Profiles!U84))/40)</f>
        <v/>
      </c>
      <c r="J83" s="36">
        <f>ROUND(60*(E83+F83+G83+IFERROR(VALUE(H83),(E83+F83+G83)/3))/4 + 0.4*I83,1)</f>
        <v/>
      </c>
      <c r="K83" s="36">
        <f>IF(OR(AND('User Input'!$B$6="M",Profiles!$AG84="M"),AND('User Input'!$B$6="F",Profiles!$AG84="F")),1,0)</f>
        <v/>
      </c>
      <c r="L83" s="36">
        <f>IF('User Input'!$B$27="Either",(IF(Profiles!V84&gt;=4,1,0.3)+IF(OR(Profiles!V84&lt;=2,ISNUMBER(SEARCH("Individual",Profiles!D84))),1,0.3))/2,IF('User Input'!$B$27="Team",IF(Profiles!V84&gt;=4,1,0.3),IF(OR(Profiles!V84&lt;=2,ISNUMBER(SEARCH("Individual",Profiles!D84))),1,0.3)))</f>
        <v/>
      </c>
      <c r="M83" s="36">
        <f>IF(IFERROR(MATCH(Profiles!W84,{"None","Light","Medium","Heavy"},0)-1,0)&lt;=IFERROR(MATCH('User Input'!$B$28,{"None","Light","Medium","Heavy"},0)-1,3),1,MAX(0,1-0.4*(IFERROR(MATCH(Profiles!W84,{"None","Light","Medium","Heavy"},0)-1,0)-IFERROR(MATCH('User Input'!$B$28,{"None","Light","Medium","Heavy"},0)-1,3))))</f>
        <v/>
      </c>
      <c r="N83" s="36">
        <f>IF('User Input'!$B$29="neutral",1,IF('User Input'!$B$29="essential",IF(ISNUMBER(SEARCH("Outdoor",Profiles!X84)),1,0.3),IF('User Input'!$B$29="nice",IF(ISNUMBER(SEARCH("Outdoor",Profiles!X84)),1,0.65),IF('User Input'!$B$29="indoor",IF(ISNUMBER(SEARCH("Indoor",Profiles!X84)),1,0.4),1))))</f>
        <v/>
      </c>
      <c r="O83" s="36">
        <f>IF('User Input'!$B$30="Yes",1,IF(Profiles!Y84="Yes",0,1))</f>
        <v/>
      </c>
      <c r="P83" s="36">
        <f>IF(IFERROR(MATCH(Profiles!Z84,{"Low","Medium","High"},0),2)&lt;=IFERROR(MATCH('User Input'!$B$31,{"Low","Medium","High"},0),2),1,MAX(0,1-0.4*(IFERROR(MATCH(Profiles!Z84,{"Low","Medium","High"},0),2)-IFERROR(MATCH('User Input'!$B$31,{"Low","Medium","High"},0),2))))</f>
        <v/>
      </c>
      <c r="Q83" s="36">
        <f>IF('User Input'!$B$32="Yes",IF(ISNUMBER(Profiles!AC84),Profiles!AC84/10,0.5),1)</f>
        <v/>
      </c>
      <c r="R83" s="36">
        <f>IF(OR(K83=0,O83=0),0,ROUND(MIN(100,100*(K83*0.1+L83*0.2+M83*0.2+N83*0.1+P83*0.15+Q83*0.25)*W83*X83*Y83*Z83),1))</f>
        <v/>
      </c>
      <c r="S83" s="36">
        <f>IF(R83=0,0,ROUND(0.5*J83+0.5*R83,1))</f>
        <v/>
      </c>
      <c r="T83" s="36">
        <f>J83-ROW()/1000000</f>
        <v/>
      </c>
      <c r="U83" s="36">
        <f>R83-ROW()/1000000</f>
        <v/>
      </c>
      <c r="V83" s="36">
        <f>S83-ROW()/1000000</f>
        <v/>
      </c>
      <c r="W83" s="36">
        <f>IF(OR(AND(OR(Profiles!D84="Team field",Profiles!D84="Team field contact",Profiles!D84="Team field stick"),'User Input'!$B$34="Yes"),AND(OR(Profiles!D84="Team court",Profiles!D84="Team court contact"),'User Input'!$B$35="Yes"),AND(Profiles!D84="Individual racquet",'User Input'!$B$36="Yes"),AND(OR(Profiles!D84="Combat striking",Profiles!D84="Combat grappling",Profiles!D84="Combat mixed"),'User Input'!$B$37="Yes"),AND(OR(Profiles!D84="Team water contact",Profiles!D84="Individual water"),'User Input'!$B$38="Yes"),AND(OR(Profiles!D84="Endurance individual",Profiles!D84="Endurance individual / pair",Profiles!D84="Endurance individual / pursuit",Profiles!D84="Endurance team / pair",Profiles!D84="Endurance multi"),'User Input'!$B$39="Yes"),AND(OR(Profiles!D84="Strength individual",Profiles!D84="Power-throw individual"),'User Input'!$B$40="Yes"),AND(OR(Profiles!D84="Individual technical",Profiles!D84="Individual aesthetic",Profiles!D84="Team precision"),'User Input'!$B$41="Yes")),1.15,1)</f>
        <v/>
      </c>
      <c r="X83" s="36">
        <f>IF('User Input'!$B$33&lt;&gt;"none",1,IF(IFERROR(VALUE(TRIM(MID(SUBSTITUTE(SUBSTITUTE(Profiles!AA84,"–","-"),"-",REPT(" ",100)),100,100)))&lt;=14,FALSE),0.7,1))</f>
        <v/>
      </c>
      <c r="Y83" s="36">
        <f>IF(OR('User Input'!$B$42="under30",'User Input'!$B$42=""),1,IF('User Input'!$B$42="30to45",IF((IFERROR(MATCH(Profiles!W84,{"None","Light","Medium","Heavy"},0)-1,0)+IFERROR(MATCH(Profiles!AB84,{"Low","Medium","High"},0)-1,0))&gt;=5,0.85,1),IF('User Input'!$B$42="46to60",IF((IFERROR(MATCH(Profiles!W84,{"None","Light","Medium","Heavy"},0)-1,0)+IFERROR(MATCH(Profiles!AB84,{"Low","Medium","High"},0)-1,0))&gt;=5,0.65,IF((IFERROR(MATCH(Profiles!W84,{"None","Light","Medium","Heavy"},0)-1,0)+IFERROR(MATCH(Profiles!AB84,{"Low","Medium","High"},0)-1,0))&gt;=4,0.8,IF((IFERROR(MATCH(Profiles!W84,{"None","Light","Medium","Heavy"},0)-1,0)+IFERROR(MATCH(Profiles!AB84,{"Low","Medium","High"},0)-1,0))&gt;=3,0.9,1))),IF((IFERROR(MATCH(Profiles!W84,{"None","Light","Medium","Heavy"},0)-1,0)+IFERROR(MATCH(Profiles!AB84,{"Low","Medium","High"},0)-1,0))&gt;=5,0.4,IF((IFERROR(MATCH(Profiles!W84,{"None","Light","Medium","Heavy"},0)-1,0)+IFERROR(MATCH(Profiles!AB84,{"Low","Medium","High"},0)-1,0))&gt;=4,0.6,IF((IFERROR(MATCH(Profiles!W84,{"None","Light","Medium","Heavy"},0)-1,0)+IFERROR(MATCH(Profiles!AB84,{"Low","Medium","High"},0)-1,0))&gt;=3,0.75,IF((IFERROR(MATCH(Profiles!W84,{"None","Light","Medium","Heavy"},0)-1,0)+IFERROR(MATCH(Profiles!AB84,{"Low","Medium","High"},0)-1,0))&gt;=2,0.85,1)))))))</f>
        <v/>
      </c>
      <c r="Z83" s="36">
        <f>IF(OR('User Input'!$B$43="none",'User Input'!$B$43=""),1,IF('User Input'!$B$43="minor",IF(IFERROR(MATCH(Profiles!W84,{"None","Light","Medium","Heavy"},0)-1,0)&gt;=3,0.7,IF(IFERROR(MATCH(Profiles!W84,{"None","Light","Medium","Heavy"},0)-1,0)&gt;=2,0.85,1)),IF('User Input'!$B$43="joint",IF(OR(IFERROR(MATCH(Profiles!W84,{"None","Light","Medium","Heavy"},0)-1,0)&gt;=3,IFERROR(MATCH(Profiles!AB84,{"Low","Medium","High"},0)-1,0)&gt;=2),0.5,IF(OR(IFERROR(MATCH(Profiles!W84,{"None","Light","Medium","Heavy"},0)-1,0)&gt;=2,IFERROR(MATCH(Profiles!AB84,{"Low","Medium","High"},0)-1,0)&gt;=1),0.75,1)),IF(OR(IFERROR(MATCH(Profiles!W84,{"None","Light","Medium","Heavy"},0)-1,0)&gt;=2,IFERROR(MATCH(Profiles!AB84,{"Low","Medium","High"},0)-1,0)&gt;=2),0.3,IF(OR(IFERROR(MATCH(Profiles!W84,{"None","Light","Medium","Heavy"},0)-1,0)&gt;=1,IFERROR(MATCH(Profiles!AB84,{"Low","Medium","High"},0)-1,0)&gt;=1),0.6,0.9)))))</f>
        <v/>
      </c>
    </row>
    <row r="84">
      <c r="A84" s="36">
        <f>Profiles!A85</f>
        <v/>
      </c>
      <c r="B84" s="36">
        <f>Profiles!B85</f>
        <v/>
      </c>
      <c r="C84" s="36">
        <f>Profiles!C85</f>
        <v/>
      </c>
      <c r="D84" s="36">
        <f>Profiles!D85</f>
        <v/>
      </c>
      <c r="E84" s="36">
        <f>IF(ISNUMBER(Profiles!E85),IF(ISNUMBER(Profiles!F85),MAX(0,1-(MAX(0,ABS('User Input'!$B$9-Profiles!E85)-Profiles!F85))/Profiles!F85/3),MAX(0,1-ABS('User Input'!$B$9-Profiles!E85)/(Profiles!E85*0.1)/3)),0.5)</f>
        <v/>
      </c>
      <c r="F84" s="36">
        <f>IF(ISNUMBER(Profiles!G85),IF(ISNUMBER(Profiles!H85),MAX(0,1-(MAX(0,ABS('User Input'!$B$10-Profiles!G85)-Profiles!H85))/Profiles!H85/3),MAX(0,1-ABS('User Input'!$B$10-Profiles!G85)/(Profiles!G85*0.15)/3)),0.5)</f>
        <v/>
      </c>
      <c r="G84" s="36">
        <f>IF(ISNUMBER(Profiles!J85),MAX(0,1-ABS('User Input'!$B$12-Profiles!J85)/5/3),0.5)</f>
        <v/>
      </c>
      <c r="H84" s="36">
        <f>IF(ISNUMBER(Profiles!K85),MAX(0,1-ABS('User Input'!$B$14-Profiles!K85)/0.03/3),"n/a")</f>
        <v/>
      </c>
      <c r="I84" s="36">
        <f>100*MAX(0,1-(MAX(0,Profiles!M85-'User Input'!$B$17)+0.5*MAX(0,'User Input'!$B$17-Profiles!M85)+MAX(0,Profiles!N85-'User Input'!$B$18)+0.5*MAX(0,'User Input'!$B$18-Profiles!N85)+MAX(0,Profiles!O85-'User Input'!$B$19)+0.5*MAX(0,'User Input'!$B$19-Profiles!O85)+MAX(0,Profiles!P85-'User Input'!$B$20)+0.5*MAX(0,'User Input'!$B$20-Profiles!P85)+MAX(0,Profiles!Q85-'User Input'!$B$21)+0.5*MAX(0,'User Input'!$B$21-Profiles!Q85)+MAX(0,Profiles!S85-'User Input'!$B$22)+0.5*MAX(0,'User Input'!$B$22-Profiles!S85)+MAX(0,Profiles!T85-'User Input'!$B$23)+0.5*MAX(0,'User Input'!$B$23-Profiles!T85)+MAX(0,Profiles!U85-'User Input'!$B$24)+0.5*MAX(0,'User Input'!$B$24-Profiles!U85))/40)</f>
        <v/>
      </c>
      <c r="J84" s="36">
        <f>ROUND(60*(E84+F84+G84+IFERROR(VALUE(H84),(E84+F84+G84)/3))/4 + 0.4*I84,1)</f>
        <v/>
      </c>
      <c r="K84" s="36">
        <f>IF(OR(AND('User Input'!$B$6="M",Profiles!$AG85="M"),AND('User Input'!$B$6="F",Profiles!$AG85="F")),1,0)</f>
        <v/>
      </c>
      <c r="L84" s="36">
        <f>IF('User Input'!$B$27="Either",(IF(Profiles!V85&gt;=4,1,0.3)+IF(OR(Profiles!V85&lt;=2,ISNUMBER(SEARCH("Individual",Profiles!D85))),1,0.3))/2,IF('User Input'!$B$27="Team",IF(Profiles!V85&gt;=4,1,0.3),IF(OR(Profiles!V85&lt;=2,ISNUMBER(SEARCH("Individual",Profiles!D85))),1,0.3)))</f>
        <v/>
      </c>
      <c r="M84" s="36">
        <f>IF(IFERROR(MATCH(Profiles!W85,{"None","Light","Medium","Heavy"},0)-1,0)&lt;=IFERROR(MATCH('User Input'!$B$28,{"None","Light","Medium","Heavy"},0)-1,3),1,MAX(0,1-0.4*(IFERROR(MATCH(Profiles!W85,{"None","Light","Medium","Heavy"},0)-1,0)-IFERROR(MATCH('User Input'!$B$28,{"None","Light","Medium","Heavy"},0)-1,3))))</f>
        <v/>
      </c>
      <c r="N84" s="36">
        <f>IF('User Input'!$B$29="neutral",1,IF('User Input'!$B$29="essential",IF(ISNUMBER(SEARCH("Outdoor",Profiles!X85)),1,0.3),IF('User Input'!$B$29="nice",IF(ISNUMBER(SEARCH("Outdoor",Profiles!X85)),1,0.65),IF('User Input'!$B$29="indoor",IF(ISNUMBER(SEARCH("Indoor",Profiles!X85)),1,0.4),1))))</f>
        <v/>
      </c>
      <c r="O84" s="36">
        <f>IF('User Input'!$B$30="Yes",1,IF(Profiles!Y85="Yes",0,1))</f>
        <v/>
      </c>
      <c r="P84" s="36">
        <f>IF(IFERROR(MATCH(Profiles!Z85,{"Low","Medium","High"},0),2)&lt;=IFERROR(MATCH('User Input'!$B$31,{"Low","Medium","High"},0),2),1,MAX(0,1-0.4*(IFERROR(MATCH(Profiles!Z85,{"Low","Medium","High"},0),2)-IFERROR(MATCH('User Input'!$B$31,{"Low","Medium","High"},0),2))))</f>
        <v/>
      </c>
      <c r="Q84" s="36">
        <f>IF('User Input'!$B$32="Yes",IF(ISNUMBER(Profiles!AC85),Profiles!AC85/10,0.5),1)</f>
        <v/>
      </c>
      <c r="R84" s="36">
        <f>IF(OR(K84=0,O84=0),0,ROUND(MIN(100,100*(K84*0.1+L84*0.2+M84*0.2+N84*0.1+P84*0.15+Q84*0.25)*W84*X84*Y84*Z84),1))</f>
        <v/>
      </c>
      <c r="S84" s="36">
        <f>IF(R84=0,0,ROUND(0.5*J84+0.5*R84,1))</f>
        <v/>
      </c>
      <c r="T84" s="36">
        <f>J84-ROW()/1000000</f>
        <v/>
      </c>
      <c r="U84" s="36">
        <f>R84-ROW()/1000000</f>
        <v/>
      </c>
      <c r="V84" s="36">
        <f>S84-ROW()/1000000</f>
        <v/>
      </c>
      <c r="W84" s="36">
        <f>IF(OR(AND(OR(Profiles!D85="Team field",Profiles!D85="Team field contact",Profiles!D85="Team field stick"),'User Input'!$B$34="Yes"),AND(OR(Profiles!D85="Team court",Profiles!D85="Team court contact"),'User Input'!$B$35="Yes"),AND(Profiles!D85="Individual racquet",'User Input'!$B$36="Yes"),AND(OR(Profiles!D85="Combat striking",Profiles!D85="Combat grappling",Profiles!D85="Combat mixed"),'User Input'!$B$37="Yes"),AND(OR(Profiles!D85="Team water contact",Profiles!D85="Individual water"),'User Input'!$B$38="Yes"),AND(OR(Profiles!D85="Endurance individual",Profiles!D85="Endurance individual / pair",Profiles!D85="Endurance individual / pursuit",Profiles!D85="Endurance team / pair",Profiles!D85="Endurance multi"),'User Input'!$B$39="Yes"),AND(OR(Profiles!D85="Strength individual",Profiles!D85="Power-throw individual"),'User Input'!$B$40="Yes"),AND(OR(Profiles!D85="Individual technical",Profiles!D85="Individual aesthetic",Profiles!D85="Team precision"),'User Input'!$B$41="Yes")),1.15,1)</f>
        <v/>
      </c>
      <c r="X84" s="36">
        <f>IF('User Input'!$B$33&lt;&gt;"none",1,IF(IFERROR(VALUE(TRIM(MID(SUBSTITUTE(SUBSTITUTE(Profiles!AA85,"–","-"),"-",REPT(" ",100)),100,100)))&lt;=14,FALSE),0.7,1))</f>
        <v/>
      </c>
      <c r="Y84" s="36">
        <f>IF(OR('User Input'!$B$42="under30",'User Input'!$B$42=""),1,IF('User Input'!$B$42="30to45",IF((IFERROR(MATCH(Profiles!W85,{"None","Light","Medium","Heavy"},0)-1,0)+IFERROR(MATCH(Profiles!AB85,{"Low","Medium","High"},0)-1,0))&gt;=5,0.85,1),IF('User Input'!$B$42="46to60",IF((IFERROR(MATCH(Profiles!W85,{"None","Light","Medium","Heavy"},0)-1,0)+IFERROR(MATCH(Profiles!AB85,{"Low","Medium","High"},0)-1,0))&gt;=5,0.65,IF((IFERROR(MATCH(Profiles!W85,{"None","Light","Medium","Heavy"},0)-1,0)+IFERROR(MATCH(Profiles!AB85,{"Low","Medium","High"},0)-1,0))&gt;=4,0.8,IF((IFERROR(MATCH(Profiles!W85,{"None","Light","Medium","Heavy"},0)-1,0)+IFERROR(MATCH(Profiles!AB85,{"Low","Medium","High"},0)-1,0))&gt;=3,0.9,1))),IF((IFERROR(MATCH(Profiles!W85,{"None","Light","Medium","Heavy"},0)-1,0)+IFERROR(MATCH(Profiles!AB85,{"Low","Medium","High"},0)-1,0))&gt;=5,0.4,IF((IFERROR(MATCH(Profiles!W85,{"None","Light","Medium","Heavy"},0)-1,0)+IFERROR(MATCH(Profiles!AB85,{"Low","Medium","High"},0)-1,0))&gt;=4,0.6,IF((IFERROR(MATCH(Profiles!W85,{"None","Light","Medium","Heavy"},0)-1,0)+IFERROR(MATCH(Profiles!AB85,{"Low","Medium","High"},0)-1,0))&gt;=3,0.75,IF((IFERROR(MATCH(Profiles!W85,{"None","Light","Medium","Heavy"},0)-1,0)+IFERROR(MATCH(Profiles!AB85,{"Low","Medium","High"},0)-1,0))&gt;=2,0.85,1)))))))</f>
        <v/>
      </c>
      <c r="Z84" s="36">
        <f>IF(OR('User Input'!$B$43="none",'User Input'!$B$43=""),1,IF('User Input'!$B$43="minor",IF(IFERROR(MATCH(Profiles!W85,{"None","Light","Medium","Heavy"},0)-1,0)&gt;=3,0.7,IF(IFERROR(MATCH(Profiles!W85,{"None","Light","Medium","Heavy"},0)-1,0)&gt;=2,0.85,1)),IF('User Input'!$B$43="joint",IF(OR(IFERROR(MATCH(Profiles!W85,{"None","Light","Medium","Heavy"},0)-1,0)&gt;=3,IFERROR(MATCH(Profiles!AB85,{"Low","Medium","High"},0)-1,0)&gt;=2),0.5,IF(OR(IFERROR(MATCH(Profiles!W85,{"None","Light","Medium","Heavy"},0)-1,0)&gt;=2,IFERROR(MATCH(Profiles!AB85,{"Low","Medium","High"},0)-1,0)&gt;=1),0.75,1)),IF(OR(IFERROR(MATCH(Profiles!W85,{"None","Light","Medium","Heavy"},0)-1,0)&gt;=2,IFERROR(MATCH(Profiles!AB85,{"Low","Medium","High"},0)-1,0)&gt;=2),0.3,IF(OR(IFERROR(MATCH(Profiles!W85,{"None","Light","Medium","Heavy"},0)-1,0)&gt;=1,IFERROR(MATCH(Profiles!AB85,{"Low","Medium","High"},0)-1,0)&gt;=1),0.6,0.9)))))</f>
        <v/>
      </c>
    </row>
    <row r="85">
      <c r="A85" s="36">
        <f>Profiles!A86</f>
        <v/>
      </c>
      <c r="B85" s="36">
        <f>Profiles!B86</f>
        <v/>
      </c>
      <c r="C85" s="36">
        <f>Profiles!C86</f>
        <v/>
      </c>
      <c r="D85" s="36">
        <f>Profiles!D86</f>
        <v/>
      </c>
      <c r="E85" s="36">
        <f>IF(ISNUMBER(Profiles!E86),IF(ISNUMBER(Profiles!F86),MAX(0,1-(MAX(0,ABS('User Input'!$B$9-Profiles!E86)-Profiles!F86))/Profiles!F86/3),MAX(0,1-ABS('User Input'!$B$9-Profiles!E86)/(Profiles!E86*0.1)/3)),0.5)</f>
        <v/>
      </c>
      <c r="F85" s="36">
        <f>IF(ISNUMBER(Profiles!G86),IF(ISNUMBER(Profiles!H86),MAX(0,1-(MAX(0,ABS('User Input'!$B$10-Profiles!G86)-Profiles!H86))/Profiles!H86/3),MAX(0,1-ABS('User Input'!$B$10-Profiles!G86)/(Profiles!G86*0.15)/3)),0.5)</f>
        <v/>
      </c>
      <c r="G85" s="36">
        <f>IF(ISNUMBER(Profiles!J86),MAX(0,1-ABS('User Input'!$B$12-Profiles!J86)/5/3),0.5)</f>
        <v/>
      </c>
      <c r="H85" s="36">
        <f>IF(ISNUMBER(Profiles!K86),MAX(0,1-ABS('User Input'!$B$14-Profiles!K86)/0.03/3),"n/a")</f>
        <v/>
      </c>
      <c r="I85" s="36">
        <f>100*MAX(0,1-(MAX(0,Profiles!M86-'User Input'!$B$17)+0.5*MAX(0,'User Input'!$B$17-Profiles!M86)+MAX(0,Profiles!N86-'User Input'!$B$18)+0.5*MAX(0,'User Input'!$B$18-Profiles!N86)+MAX(0,Profiles!O86-'User Input'!$B$19)+0.5*MAX(0,'User Input'!$B$19-Profiles!O86)+MAX(0,Profiles!P86-'User Input'!$B$20)+0.5*MAX(0,'User Input'!$B$20-Profiles!P86)+MAX(0,Profiles!Q86-'User Input'!$B$21)+0.5*MAX(0,'User Input'!$B$21-Profiles!Q86)+MAX(0,Profiles!S86-'User Input'!$B$22)+0.5*MAX(0,'User Input'!$B$22-Profiles!S86)+MAX(0,Profiles!T86-'User Input'!$B$23)+0.5*MAX(0,'User Input'!$B$23-Profiles!T86)+MAX(0,Profiles!U86-'User Input'!$B$24)+0.5*MAX(0,'User Input'!$B$24-Profiles!U86))/40)</f>
        <v/>
      </c>
      <c r="J85" s="36">
        <f>ROUND(60*(E85+F85+G85+IFERROR(VALUE(H85),(E85+F85+G85)/3))/4 + 0.4*I85,1)</f>
        <v/>
      </c>
      <c r="K85" s="36">
        <f>IF(OR(AND('User Input'!$B$6="M",Profiles!$AG86="M"),AND('User Input'!$B$6="F",Profiles!$AG86="F")),1,0)</f>
        <v/>
      </c>
      <c r="L85" s="36">
        <f>IF('User Input'!$B$27="Either",(IF(Profiles!V86&gt;=4,1,0.3)+IF(OR(Profiles!V86&lt;=2,ISNUMBER(SEARCH("Individual",Profiles!D86))),1,0.3))/2,IF('User Input'!$B$27="Team",IF(Profiles!V86&gt;=4,1,0.3),IF(OR(Profiles!V86&lt;=2,ISNUMBER(SEARCH("Individual",Profiles!D86))),1,0.3)))</f>
        <v/>
      </c>
      <c r="M85" s="36">
        <f>IF(IFERROR(MATCH(Profiles!W86,{"None","Light","Medium","Heavy"},0)-1,0)&lt;=IFERROR(MATCH('User Input'!$B$28,{"None","Light","Medium","Heavy"},0)-1,3),1,MAX(0,1-0.4*(IFERROR(MATCH(Profiles!W86,{"None","Light","Medium","Heavy"},0)-1,0)-IFERROR(MATCH('User Input'!$B$28,{"None","Light","Medium","Heavy"},0)-1,3))))</f>
        <v/>
      </c>
      <c r="N85" s="36">
        <f>IF('User Input'!$B$29="neutral",1,IF('User Input'!$B$29="essential",IF(ISNUMBER(SEARCH("Outdoor",Profiles!X86)),1,0.3),IF('User Input'!$B$29="nice",IF(ISNUMBER(SEARCH("Outdoor",Profiles!X86)),1,0.65),IF('User Input'!$B$29="indoor",IF(ISNUMBER(SEARCH("Indoor",Profiles!X86)),1,0.4),1))))</f>
        <v/>
      </c>
      <c r="O85" s="36">
        <f>IF('User Input'!$B$30="Yes",1,IF(Profiles!Y86="Yes",0,1))</f>
        <v/>
      </c>
      <c r="P85" s="36">
        <f>IF(IFERROR(MATCH(Profiles!Z86,{"Low","Medium","High"},0),2)&lt;=IFERROR(MATCH('User Input'!$B$31,{"Low","Medium","High"},0),2),1,MAX(0,1-0.4*(IFERROR(MATCH(Profiles!Z86,{"Low","Medium","High"},0),2)-IFERROR(MATCH('User Input'!$B$31,{"Low","Medium","High"},0),2))))</f>
        <v/>
      </c>
      <c r="Q85" s="36">
        <f>IF('User Input'!$B$32="Yes",IF(ISNUMBER(Profiles!AC86),Profiles!AC86/10,0.5),1)</f>
        <v/>
      </c>
      <c r="R85" s="36">
        <f>IF(OR(K85=0,O85=0),0,ROUND(MIN(100,100*(K85*0.1+L85*0.2+M85*0.2+N85*0.1+P85*0.15+Q85*0.25)*W85*X85*Y85*Z85),1))</f>
        <v/>
      </c>
      <c r="S85" s="36">
        <f>IF(R85=0,0,ROUND(0.5*J85+0.5*R85,1))</f>
        <v/>
      </c>
      <c r="T85" s="36">
        <f>J85-ROW()/1000000</f>
        <v/>
      </c>
      <c r="U85" s="36">
        <f>R85-ROW()/1000000</f>
        <v/>
      </c>
      <c r="V85" s="36">
        <f>S85-ROW()/1000000</f>
        <v/>
      </c>
      <c r="W85" s="36">
        <f>IF(OR(AND(OR(Profiles!D86="Team field",Profiles!D86="Team field contact",Profiles!D86="Team field stick"),'User Input'!$B$34="Yes"),AND(OR(Profiles!D86="Team court",Profiles!D86="Team court contact"),'User Input'!$B$35="Yes"),AND(Profiles!D86="Individual racquet",'User Input'!$B$36="Yes"),AND(OR(Profiles!D86="Combat striking",Profiles!D86="Combat grappling",Profiles!D86="Combat mixed"),'User Input'!$B$37="Yes"),AND(OR(Profiles!D86="Team water contact",Profiles!D86="Individual water"),'User Input'!$B$38="Yes"),AND(OR(Profiles!D86="Endurance individual",Profiles!D86="Endurance individual / pair",Profiles!D86="Endurance individual / pursuit",Profiles!D86="Endurance team / pair",Profiles!D86="Endurance multi"),'User Input'!$B$39="Yes"),AND(OR(Profiles!D86="Strength individual",Profiles!D86="Power-throw individual"),'User Input'!$B$40="Yes"),AND(OR(Profiles!D86="Individual technical",Profiles!D86="Individual aesthetic",Profiles!D86="Team precision"),'User Input'!$B$41="Yes")),1.15,1)</f>
        <v/>
      </c>
      <c r="X85" s="36">
        <f>IF('User Input'!$B$33&lt;&gt;"none",1,IF(IFERROR(VALUE(TRIM(MID(SUBSTITUTE(SUBSTITUTE(Profiles!AA86,"–","-"),"-",REPT(" ",100)),100,100)))&lt;=14,FALSE),0.7,1))</f>
        <v/>
      </c>
      <c r="Y85" s="36">
        <f>IF(OR('User Input'!$B$42="under30",'User Input'!$B$42=""),1,IF('User Input'!$B$42="30to45",IF((IFERROR(MATCH(Profiles!W86,{"None","Light","Medium","Heavy"},0)-1,0)+IFERROR(MATCH(Profiles!AB86,{"Low","Medium","High"},0)-1,0))&gt;=5,0.85,1),IF('User Input'!$B$42="46to60",IF((IFERROR(MATCH(Profiles!W86,{"None","Light","Medium","Heavy"},0)-1,0)+IFERROR(MATCH(Profiles!AB86,{"Low","Medium","High"},0)-1,0))&gt;=5,0.65,IF((IFERROR(MATCH(Profiles!W86,{"None","Light","Medium","Heavy"},0)-1,0)+IFERROR(MATCH(Profiles!AB86,{"Low","Medium","High"},0)-1,0))&gt;=4,0.8,IF((IFERROR(MATCH(Profiles!W86,{"None","Light","Medium","Heavy"},0)-1,0)+IFERROR(MATCH(Profiles!AB86,{"Low","Medium","High"},0)-1,0))&gt;=3,0.9,1))),IF((IFERROR(MATCH(Profiles!W86,{"None","Light","Medium","Heavy"},0)-1,0)+IFERROR(MATCH(Profiles!AB86,{"Low","Medium","High"},0)-1,0))&gt;=5,0.4,IF((IFERROR(MATCH(Profiles!W86,{"None","Light","Medium","Heavy"},0)-1,0)+IFERROR(MATCH(Profiles!AB86,{"Low","Medium","High"},0)-1,0))&gt;=4,0.6,IF((IFERROR(MATCH(Profiles!W86,{"None","Light","Medium","Heavy"},0)-1,0)+IFERROR(MATCH(Profiles!AB86,{"Low","Medium","High"},0)-1,0))&gt;=3,0.75,IF((IFERROR(MATCH(Profiles!W86,{"None","Light","Medium","Heavy"},0)-1,0)+IFERROR(MATCH(Profiles!AB86,{"Low","Medium","High"},0)-1,0))&gt;=2,0.85,1)))))))</f>
        <v/>
      </c>
      <c r="Z85" s="36">
        <f>IF(OR('User Input'!$B$43="none",'User Input'!$B$43=""),1,IF('User Input'!$B$43="minor",IF(IFERROR(MATCH(Profiles!W86,{"None","Light","Medium","Heavy"},0)-1,0)&gt;=3,0.7,IF(IFERROR(MATCH(Profiles!W86,{"None","Light","Medium","Heavy"},0)-1,0)&gt;=2,0.85,1)),IF('User Input'!$B$43="joint",IF(OR(IFERROR(MATCH(Profiles!W86,{"None","Light","Medium","Heavy"},0)-1,0)&gt;=3,IFERROR(MATCH(Profiles!AB86,{"Low","Medium","High"},0)-1,0)&gt;=2),0.5,IF(OR(IFERROR(MATCH(Profiles!W86,{"None","Light","Medium","Heavy"},0)-1,0)&gt;=2,IFERROR(MATCH(Profiles!AB86,{"Low","Medium","High"},0)-1,0)&gt;=1),0.75,1)),IF(OR(IFERROR(MATCH(Profiles!W86,{"None","Light","Medium","Heavy"},0)-1,0)&gt;=2,IFERROR(MATCH(Profiles!AB86,{"Low","Medium","High"},0)-1,0)&gt;=2),0.3,IF(OR(IFERROR(MATCH(Profiles!W86,{"None","Light","Medium","Heavy"},0)-1,0)&gt;=1,IFERROR(MATCH(Profiles!AB86,{"Low","Medium","High"},0)-1,0)&gt;=1),0.6,0.9)))))</f>
        <v/>
      </c>
    </row>
    <row r="86">
      <c r="A86" s="36">
        <f>Profiles!A87</f>
        <v/>
      </c>
      <c r="B86" s="36">
        <f>Profiles!B87</f>
        <v/>
      </c>
      <c r="C86" s="36">
        <f>Profiles!C87</f>
        <v/>
      </c>
      <c r="D86" s="36">
        <f>Profiles!D87</f>
        <v/>
      </c>
      <c r="E86" s="36">
        <f>IF(ISNUMBER(Profiles!E87),IF(ISNUMBER(Profiles!F87),MAX(0,1-(MAX(0,ABS('User Input'!$B$9-Profiles!E87)-Profiles!F87))/Profiles!F87/3),MAX(0,1-ABS('User Input'!$B$9-Profiles!E87)/(Profiles!E87*0.1)/3)),0.5)</f>
        <v/>
      </c>
      <c r="F86" s="36">
        <f>IF(ISNUMBER(Profiles!G87),IF(ISNUMBER(Profiles!H87),MAX(0,1-(MAX(0,ABS('User Input'!$B$10-Profiles!G87)-Profiles!H87))/Profiles!H87/3),MAX(0,1-ABS('User Input'!$B$10-Profiles!G87)/(Profiles!G87*0.15)/3)),0.5)</f>
        <v/>
      </c>
      <c r="G86" s="36">
        <f>IF(ISNUMBER(Profiles!J87),MAX(0,1-ABS('User Input'!$B$12-Profiles!J87)/5/3),0.5)</f>
        <v/>
      </c>
      <c r="H86" s="36">
        <f>IF(ISNUMBER(Profiles!K87),MAX(0,1-ABS('User Input'!$B$14-Profiles!K87)/0.03/3),"n/a")</f>
        <v/>
      </c>
      <c r="I86" s="36">
        <f>100*MAX(0,1-(MAX(0,Profiles!M87-'User Input'!$B$17)+0.5*MAX(0,'User Input'!$B$17-Profiles!M87)+MAX(0,Profiles!N87-'User Input'!$B$18)+0.5*MAX(0,'User Input'!$B$18-Profiles!N87)+MAX(0,Profiles!O87-'User Input'!$B$19)+0.5*MAX(0,'User Input'!$B$19-Profiles!O87)+MAX(0,Profiles!P87-'User Input'!$B$20)+0.5*MAX(0,'User Input'!$B$20-Profiles!P87)+MAX(0,Profiles!Q87-'User Input'!$B$21)+0.5*MAX(0,'User Input'!$B$21-Profiles!Q87)+MAX(0,Profiles!S87-'User Input'!$B$22)+0.5*MAX(0,'User Input'!$B$22-Profiles!S87)+MAX(0,Profiles!T87-'User Input'!$B$23)+0.5*MAX(0,'User Input'!$B$23-Profiles!T87)+MAX(0,Profiles!U87-'User Input'!$B$24)+0.5*MAX(0,'User Input'!$B$24-Profiles!U87))/40)</f>
        <v/>
      </c>
      <c r="J86" s="36">
        <f>ROUND(60*(E86+F86+G86+IFERROR(VALUE(H86),(E86+F86+G86)/3))/4 + 0.4*I86,1)</f>
        <v/>
      </c>
      <c r="K86" s="36">
        <f>IF(OR(AND('User Input'!$B$6="M",Profiles!$AG87="M"),AND('User Input'!$B$6="F",Profiles!$AG87="F")),1,0)</f>
        <v/>
      </c>
      <c r="L86" s="36">
        <f>IF('User Input'!$B$27="Either",(IF(Profiles!V87&gt;=4,1,0.3)+IF(OR(Profiles!V87&lt;=2,ISNUMBER(SEARCH("Individual",Profiles!D87))),1,0.3))/2,IF('User Input'!$B$27="Team",IF(Profiles!V87&gt;=4,1,0.3),IF(OR(Profiles!V87&lt;=2,ISNUMBER(SEARCH("Individual",Profiles!D87))),1,0.3)))</f>
        <v/>
      </c>
      <c r="M86" s="36">
        <f>IF(IFERROR(MATCH(Profiles!W87,{"None","Light","Medium","Heavy"},0)-1,0)&lt;=IFERROR(MATCH('User Input'!$B$28,{"None","Light","Medium","Heavy"},0)-1,3),1,MAX(0,1-0.4*(IFERROR(MATCH(Profiles!W87,{"None","Light","Medium","Heavy"},0)-1,0)-IFERROR(MATCH('User Input'!$B$28,{"None","Light","Medium","Heavy"},0)-1,3))))</f>
        <v/>
      </c>
      <c r="N86" s="36">
        <f>IF('User Input'!$B$29="neutral",1,IF('User Input'!$B$29="essential",IF(ISNUMBER(SEARCH("Outdoor",Profiles!X87)),1,0.3),IF('User Input'!$B$29="nice",IF(ISNUMBER(SEARCH("Outdoor",Profiles!X87)),1,0.65),IF('User Input'!$B$29="indoor",IF(ISNUMBER(SEARCH("Indoor",Profiles!X87)),1,0.4),1))))</f>
        <v/>
      </c>
      <c r="O86" s="36">
        <f>IF('User Input'!$B$30="Yes",1,IF(Profiles!Y87="Yes",0,1))</f>
        <v/>
      </c>
      <c r="P86" s="36">
        <f>IF(IFERROR(MATCH(Profiles!Z87,{"Low","Medium","High"},0),2)&lt;=IFERROR(MATCH('User Input'!$B$31,{"Low","Medium","High"},0),2),1,MAX(0,1-0.4*(IFERROR(MATCH(Profiles!Z87,{"Low","Medium","High"},0),2)-IFERROR(MATCH('User Input'!$B$31,{"Low","Medium","High"},0),2))))</f>
        <v/>
      </c>
      <c r="Q86" s="36">
        <f>IF('User Input'!$B$32="Yes",IF(ISNUMBER(Profiles!AC87),Profiles!AC87/10,0.5),1)</f>
        <v/>
      </c>
      <c r="R86" s="36">
        <f>IF(OR(K86=0,O86=0),0,ROUND(MIN(100,100*(K86*0.1+L86*0.2+M86*0.2+N86*0.1+P86*0.15+Q86*0.25)*W86*X86*Y86*Z86),1))</f>
        <v/>
      </c>
      <c r="S86" s="36">
        <f>IF(R86=0,0,ROUND(0.5*J86+0.5*R86,1))</f>
        <v/>
      </c>
      <c r="T86" s="36">
        <f>J86-ROW()/1000000</f>
        <v/>
      </c>
      <c r="U86" s="36">
        <f>R86-ROW()/1000000</f>
        <v/>
      </c>
      <c r="V86" s="36">
        <f>S86-ROW()/1000000</f>
        <v/>
      </c>
      <c r="W86" s="36">
        <f>IF(OR(AND(OR(Profiles!D87="Team field",Profiles!D87="Team field contact",Profiles!D87="Team field stick"),'User Input'!$B$34="Yes"),AND(OR(Profiles!D87="Team court",Profiles!D87="Team court contact"),'User Input'!$B$35="Yes"),AND(Profiles!D87="Individual racquet",'User Input'!$B$36="Yes"),AND(OR(Profiles!D87="Combat striking",Profiles!D87="Combat grappling",Profiles!D87="Combat mixed"),'User Input'!$B$37="Yes"),AND(OR(Profiles!D87="Team water contact",Profiles!D87="Individual water"),'User Input'!$B$38="Yes"),AND(OR(Profiles!D87="Endurance individual",Profiles!D87="Endurance individual / pair",Profiles!D87="Endurance individual / pursuit",Profiles!D87="Endurance team / pair",Profiles!D87="Endurance multi"),'User Input'!$B$39="Yes"),AND(OR(Profiles!D87="Strength individual",Profiles!D87="Power-throw individual"),'User Input'!$B$40="Yes"),AND(OR(Profiles!D87="Individual technical",Profiles!D87="Individual aesthetic",Profiles!D87="Team precision"),'User Input'!$B$41="Yes")),1.15,1)</f>
        <v/>
      </c>
      <c r="X86" s="36">
        <f>IF('User Input'!$B$33&lt;&gt;"none",1,IF(IFERROR(VALUE(TRIM(MID(SUBSTITUTE(SUBSTITUTE(Profiles!AA87,"–","-"),"-",REPT(" ",100)),100,100)))&lt;=14,FALSE),0.7,1))</f>
        <v/>
      </c>
      <c r="Y86" s="36">
        <f>IF(OR('User Input'!$B$42="under30",'User Input'!$B$42=""),1,IF('User Input'!$B$42="30to45",IF((IFERROR(MATCH(Profiles!W87,{"None","Light","Medium","Heavy"},0)-1,0)+IFERROR(MATCH(Profiles!AB87,{"Low","Medium","High"},0)-1,0))&gt;=5,0.85,1),IF('User Input'!$B$42="46to60",IF((IFERROR(MATCH(Profiles!W87,{"None","Light","Medium","Heavy"},0)-1,0)+IFERROR(MATCH(Profiles!AB87,{"Low","Medium","High"},0)-1,0))&gt;=5,0.65,IF((IFERROR(MATCH(Profiles!W87,{"None","Light","Medium","Heavy"},0)-1,0)+IFERROR(MATCH(Profiles!AB87,{"Low","Medium","High"},0)-1,0))&gt;=4,0.8,IF((IFERROR(MATCH(Profiles!W87,{"None","Light","Medium","Heavy"},0)-1,0)+IFERROR(MATCH(Profiles!AB87,{"Low","Medium","High"},0)-1,0))&gt;=3,0.9,1))),IF((IFERROR(MATCH(Profiles!W87,{"None","Light","Medium","Heavy"},0)-1,0)+IFERROR(MATCH(Profiles!AB87,{"Low","Medium","High"},0)-1,0))&gt;=5,0.4,IF((IFERROR(MATCH(Profiles!W87,{"None","Light","Medium","Heavy"},0)-1,0)+IFERROR(MATCH(Profiles!AB87,{"Low","Medium","High"},0)-1,0))&gt;=4,0.6,IF((IFERROR(MATCH(Profiles!W87,{"None","Light","Medium","Heavy"},0)-1,0)+IFERROR(MATCH(Profiles!AB87,{"Low","Medium","High"},0)-1,0))&gt;=3,0.75,IF((IFERROR(MATCH(Profiles!W87,{"None","Light","Medium","Heavy"},0)-1,0)+IFERROR(MATCH(Profiles!AB87,{"Low","Medium","High"},0)-1,0))&gt;=2,0.85,1)))))))</f>
        <v/>
      </c>
      <c r="Z86" s="36">
        <f>IF(OR('User Input'!$B$43="none",'User Input'!$B$43=""),1,IF('User Input'!$B$43="minor",IF(IFERROR(MATCH(Profiles!W87,{"None","Light","Medium","Heavy"},0)-1,0)&gt;=3,0.7,IF(IFERROR(MATCH(Profiles!W87,{"None","Light","Medium","Heavy"},0)-1,0)&gt;=2,0.85,1)),IF('User Input'!$B$43="joint",IF(OR(IFERROR(MATCH(Profiles!W87,{"None","Light","Medium","Heavy"},0)-1,0)&gt;=3,IFERROR(MATCH(Profiles!AB87,{"Low","Medium","High"},0)-1,0)&gt;=2),0.5,IF(OR(IFERROR(MATCH(Profiles!W87,{"None","Light","Medium","Heavy"},0)-1,0)&gt;=2,IFERROR(MATCH(Profiles!AB87,{"Low","Medium","High"},0)-1,0)&gt;=1),0.75,1)),IF(OR(IFERROR(MATCH(Profiles!W87,{"None","Light","Medium","Heavy"},0)-1,0)&gt;=2,IFERROR(MATCH(Profiles!AB87,{"Low","Medium","High"},0)-1,0)&gt;=2),0.3,IF(OR(IFERROR(MATCH(Profiles!W87,{"None","Light","Medium","Heavy"},0)-1,0)&gt;=1,IFERROR(MATCH(Profiles!AB87,{"Low","Medium","High"},0)-1,0)&gt;=1),0.6,0.9)))))</f>
        <v/>
      </c>
    </row>
    <row r="87">
      <c r="A87" s="36">
        <f>Profiles!A88</f>
        <v/>
      </c>
      <c r="B87" s="36">
        <f>Profiles!B88</f>
        <v/>
      </c>
      <c r="C87" s="36">
        <f>Profiles!C88</f>
        <v/>
      </c>
      <c r="D87" s="36">
        <f>Profiles!D88</f>
        <v/>
      </c>
      <c r="E87" s="36">
        <f>IF(ISNUMBER(Profiles!E88),IF(ISNUMBER(Profiles!F88),MAX(0,1-(MAX(0,ABS('User Input'!$B$9-Profiles!E88)-Profiles!F88))/Profiles!F88/3),MAX(0,1-ABS('User Input'!$B$9-Profiles!E88)/(Profiles!E88*0.1)/3)),0.5)</f>
        <v/>
      </c>
      <c r="F87" s="36">
        <f>IF(ISNUMBER(Profiles!G88),IF(ISNUMBER(Profiles!H88),MAX(0,1-(MAX(0,ABS('User Input'!$B$10-Profiles!G88)-Profiles!H88))/Profiles!H88/3),MAX(0,1-ABS('User Input'!$B$10-Profiles!G88)/(Profiles!G88*0.15)/3)),0.5)</f>
        <v/>
      </c>
      <c r="G87" s="36">
        <f>IF(ISNUMBER(Profiles!J88),MAX(0,1-ABS('User Input'!$B$12-Profiles!J88)/5/3),0.5)</f>
        <v/>
      </c>
      <c r="H87" s="36">
        <f>IF(ISNUMBER(Profiles!K88),MAX(0,1-ABS('User Input'!$B$14-Profiles!K88)/0.03/3),"n/a")</f>
        <v/>
      </c>
      <c r="I87" s="36">
        <f>100*MAX(0,1-(MAX(0,Profiles!M88-'User Input'!$B$17)+0.5*MAX(0,'User Input'!$B$17-Profiles!M88)+MAX(0,Profiles!N88-'User Input'!$B$18)+0.5*MAX(0,'User Input'!$B$18-Profiles!N88)+MAX(0,Profiles!O88-'User Input'!$B$19)+0.5*MAX(0,'User Input'!$B$19-Profiles!O88)+MAX(0,Profiles!P88-'User Input'!$B$20)+0.5*MAX(0,'User Input'!$B$20-Profiles!P88)+MAX(0,Profiles!Q88-'User Input'!$B$21)+0.5*MAX(0,'User Input'!$B$21-Profiles!Q88)+MAX(0,Profiles!S88-'User Input'!$B$22)+0.5*MAX(0,'User Input'!$B$22-Profiles!S88)+MAX(0,Profiles!T88-'User Input'!$B$23)+0.5*MAX(0,'User Input'!$B$23-Profiles!T88)+MAX(0,Profiles!U88-'User Input'!$B$24)+0.5*MAX(0,'User Input'!$B$24-Profiles!U88))/40)</f>
        <v/>
      </c>
      <c r="J87" s="36">
        <f>ROUND(60*(E87+F87+G87+IFERROR(VALUE(H87),(E87+F87+G87)/3))/4 + 0.4*I87,1)</f>
        <v/>
      </c>
      <c r="K87" s="36">
        <f>IF(OR(AND('User Input'!$B$6="M",Profiles!$AG88="M"),AND('User Input'!$B$6="F",Profiles!$AG88="F")),1,0)</f>
        <v/>
      </c>
      <c r="L87" s="36">
        <f>IF('User Input'!$B$27="Either",(IF(Profiles!V88&gt;=4,1,0.3)+IF(OR(Profiles!V88&lt;=2,ISNUMBER(SEARCH("Individual",Profiles!D88))),1,0.3))/2,IF('User Input'!$B$27="Team",IF(Profiles!V88&gt;=4,1,0.3),IF(OR(Profiles!V88&lt;=2,ISNUMBER(SEARCH("Individual",Profiles!D88))),1,0.3)))</f>
        <v/>
      </c>
      <c r="M87" s="36">
        <f>IF(IFERROR(MATCH(Profiles!W88,{"None","Light","Medium","Heavy"},0)-1,0)&lt;=IFERROR(MATCH('User Input'!$B$28,{"None","Light","Medium","Heavy"},0)-1,3),1,MAX(0,1-0.4*(IFERROR(MATCH(Profiles!W88,{"None","Light","Medium","Heavy"},0)-1,0)-IFERROR(MATCH('User Input'!$B$28,{"None","Light","Medium","Heavy"},0)-1,3))))</f>
        <v/>
      </c>
      <c r="N87" s="36">
        <f>IF('User Input'!$B$29="neutral",1,IF('User Input'!$B$29="essential",IF(ISNUMBER(SEARCH("Outdoor",Profiles!X88)),1,0.3),IF('User Input'!$B$29="nice",IF(ISNUMBER(SEARCH("Outdoor",Profiles!X88)),1,0.65),IF('User Input'!$B$29="indoor",IF(ISNUMBER(SEARCH("Indoor",Profiles!X88)),1,0.4),1))))</f>
        <v/>
      </c>
      <c r="O87" s="36">
        <f>IF('User Input'!$B$30="Yes",1,IF(Profiles!Y88="Yes",0,1))</f>
        <v/>
      </c>
      <c r="P87" s="36">
        <f>IF(IFERROR(MATCH(Profiles!Z88,{"Low","Medium","High"},0),2)&lt;=IFERROR(MATCH('User Input'!$B$31,{"Low","Medium","High"},0),2),1,MAX(0,1-0.4*(IFERROR(MATCH(Profiles!Z88,{"Low","Medium","High"},0),2)-IFERROR(MATCH('User Input'!$B$31,{"Low","Medium","High"},0),2))))</f>
        <v/>
      </c>
      <c r="Q87" s="36">
        <f>IF('User Input'!$B$32="Yes",IF(ISNUMBER(Profiles!AC88),Profiles!AC88/10,0.5),1)</f>
        <v/>
      </c>
      <c r="R87" s="36">
        <f>IF(OR(K87=0,O87=0),0,ROUND(MIN(100,100*(K87*0.1+L87*0.2+M87*0.2+N87*0.1+P87*0.15+Q87*0.25)*W87*X87*Y87*Z87),1))</f>
        <v/>
      </c>
      <c r="S87" s="36">
        <f>IF(R87=0,0,ROUND(0.5*J87+0.5*R87,1))</f>
        <v/>
      </c>
      <c r="T87" s="36">
        <f>J87-ROW()/1000000</f>
        <v/>
      </c>
      <c r="U87" s="36">
        <f>R87-ROW()/1000000</f>
        <v/>
      </c>
      <c r="V87" s="36">
        <f>S87-ROW()/1000000</f>
        <v/>
      </c>
      <c r="W87" s="36">
        <f>IF(OR(AND(OR(Profiles!D88="Team field",Profiles!D88="Team field contact",Profiles!D88="Team field stick"),'User Input'!$B$34="Yes"),AND(OR(Profiles!D88="Team court",Profiles!D88="Team court contact"),'User Input'!$B$35="Yes"),AND(Profiles!D88="Individual racquet",'User Input'!$B$36="Yes"),AND(OR(Profiles!D88="Combat striking",Profiles!D88="Combat grappling",Profiles!D88="Combat mixed"),'User Input'!$B$37="Yes"),AND(OR(Profiles!D88="Team water contact",Profiles!D88="Individual water"),'User Input'!$B$38="Yes"),AND(OR(Profiles!D88="Endurance individual",Profiles!D88="Endurance individual / pair",Profiles!D88="Endurance individual / pursuit",Profiles!D88="Endurance team / pair",Profiles!D88="Endurance multi"),'User Input'!$B$39="Yes"),AND(OR(Profiles!D88="Strength individual",Profiles!D88="Power-throw individual"),'User Input'!$B$40="Yes"),AND(OR(Profiles!D88="Individual technical",Profiles!D88="Individual aesthetic",Profiles!D88="Team precision"),'User Input'!$B$41="Yes")),1.15,1)</f>
        <v/>
      </c>
      <c r="X87" s="36">
        <f>IF('User Input'!$B$33&lt;&gt;"none",1,IF(IFERROR(VALUE(TRIM(MID(SUBSTITUTE(SUBSTITUTE(Profiles!AA88,"–","-"),"-",REPT(" ",100)),100,100)))&lt;=14,FALSE),0.7,1))</f>
        <v/>
      </c>
      <c r="Y87" s="36">
        <f>IF(OR('User Input'!$B$42="under30",'User Input'!$B$42=""),1,IF('User Input'!$B$42="30to45",IF((IFERROR(MATCH(Profiles!W88,{"None","Light","Medium","Heavy"},0)-1,0)+IFERROR(MATCH(Profiles!AB88,{"Low","Medium","High"},0)-1,0))&gt;=5,0.85,1),IF('User Input'!$B$42="46to60",IF((IFERROR(MATCH(Profiles!W88,{"None","Light","Medium","Heavy"},0)-1,0)+IFERROR(MATCH(Profiles!AB88,{"Low","Medium","High"},0)-1,0))&gt;=5,0.65,IF((IFERROR(MATCH(Profiles!W88,{"None","Light","Medium","Heavy"},0)-1,0)+IFERROR(MATCH(Profiles!AB88,{"Low","Medium","High"},0)-1,0))&gt;=4,0.8,IF((IFERROR(MATCH(Profiles!W88,{"None","Light","Medium","Heavy"},0)-1,0)+IFERROR(MATCH(Profiles!AB88,{"Low","Medium","High"},0)-1,0))&gt;=3,0.9,1))),IF((IFERROR(MATCH(Profiles!W88,{"None","Light","Medium","Heavy"},0)-1,0)+IFERROR(MATCH(Profiles!AB88,{"Low","Medium","High"},0)-1,0))&gt;=5,0.4,IF((IFERROR(MATCH(Profiles!W88,{"None","Light","Medium","Heavy"},0)-1,0)+IFERROR(MATCH(Profiles!AB88,{"Low","Medium","High"},0)-1,0))&gt;=4,0.6,IF((IFERROR(MATCH(Profiles!W88,{"None","Light","Medium","Heavy"},0)-1,0)+IFERROR(MATCH(Profiles!AB88,{"Low","Medium","High"},0)-1,0))&gt;=3,0.75,IF((IFERROR(MATCH(Profiles!W88,{"None","Light","Medium","Heavy"},0)-1,0)+IFERROR(MATCH(Profiles!AB88,{"Low","Medium","High"},0)-1,0))&gt;=2,0.85,1)))))))</f>
        <v/>
      </c>
      <c r="Z87" s="36">
        <f>IF(OR('User Input'!$B$43="none",'User Input'!$B$43=""),1,IF('User Input'!$B$43="minor",IF(IFERROR(MATCH(Profiles!W88,{"None","Light","Medium","Heavy"},0)-1,0)&gt;=3,0.7,IF(IFERROR(MATCH(Profiles!W88,{"None","Light","Medium","Heavy"},0)-1,0)&gt;=2,0.85,1)),IF('User Input'!$B$43="joint",IF(OR(IFERROR(MATCH(Profiles!W88,{"None","Light","Medium","Heavy"},0)-1,0)&gt;=3,IFERROR(MATCH(Profiles!AB88,{"Low","Medium","High"},0)-1,0)&gt;=2),0.5,IF(OR(IFERROR(MATCH(Profiles!W88,{"None","Light","Medium","Heavy"},0)-1,0)&gt;=2,IFERROR(MATCH(Profiles!AB88,{"Low","Medium","High"},0)-1,0)&gt;=1),0.75,1)),IF(OR(IFERROR(MATCH(Profiles!W88,{"None","Light","Medium","Heavy"},0)-1,0)&gt;=2,IFERROR(MATCH(Profiles!AB88,{"Low","Medium","High"},0)-1,0)&gt;=2),0.3,IF(OR(IFERROR(MATCH(Profiles!W88,{"None","Light","Medium","Heavy"},0)-1,0)&gt;=1,IFERROR(MATCH(Profiles!AB88,{"Low","Medium","High"},0)-1,0)&gt;=1),0.6,0.9)))))</f>
        <v/>
      </c>
    </row>
    <row r="88">
      <c r="A88" s="36">
        <f>Profiles!A89</f>
        <v/>
      </c>
      <c r="B88" s="36">
        <f>Profiles!B89</f>
        <v/>
      </c>
      <c r="C88" s="36">
        <f>Profiles!C89</f>
        <v/>
      </c>
      <c r="D88" s="36">
        <f>Profiles!D89</f>
        <v/>
      </c>
      <c r="E88" s="36">
        <f>IF(ISNUMBER(Profiles!E89),IF(ISNUMBER(Profiles!F89),MAX(0,1-(MAX(0,ABS('User Input'!$B$9-Profiles!E89)-Profiles!F89))/Profiles!F89/3),MAX(0,1-ABS('User Input'!$B$9-Profiles!E89)/(Profiles!E89*0.1)/3)),0.5)</f>
        <v/>
      </c>
      <c r="F88" s="36">
        <f>IF(ISNUMBER(Profiles!G89),IF(ISNUMBER(Profiles!H89),MAX(0,1-(MAX(0,ABS('User Input'!$B$10-Profiles!G89)-Profiles!H89))/Profiles!H89/3),MAX(0,1-ABS('User Input'!$B$10-Profiles!G89)/(Profiles!G89*0.15)/3)),0.5)</f>
        <v/>
      </c>
      <c r="G88" s="36">
        <f>IF(ISNUMBER(Profiles!J89),MAX(0,1-ABS('User Input'!$B$12-Profiles!J89)/5/3),0.5)</f>
        <v/>
      </c>
      <c r="H88" s="36">
        <f>IF(ISNUMBER(Profiles!K89),MAX(0,1-ABS('User Input'!$B$14-Profiles!K89)/0.03/3),"n/a")</f>
        <v/>
      </c>
      <c r="I88" s="36">
        <f>100*MAX(0,1-(MAX(0,Profiles!M89-'User Input'!$B$17)+0.5*MAX(0,'User Input'!$B$17-Profiles!M89)+MAX(0,Profiles!N89-'User Input'!$B$18)+0.5*MAX(0,'User Input'!$B$18-Profiles!N89)+MAX(0,Profiles!O89-'User Input'!$B$19)+0.5*MAX(0,'User Input'!$B$19-Profiles!O89)+MAX(0,Profiles!P89-'User Input'!$B$20)+0.5*MAX(0,'User Input'!$B$20-Profiles!P89)+MAX(0,Profiles!Q89-'User Input'!$B$21)+0.5*MAX(0,'User Input'!$B$21-Profiles!Q89)+MAX(0,Profiles!S89-'User Input'!$B$22)+0.5*MAX(0,'User Input'!$B$22-Profiles!S89)+MAX(0,Profiles!T89-'User Input'!$B$23)+0.5*MAX(0,'User Input'!$B$23-Profiles!T89)+MAX(0,Profiles!U89-'User Input'!$B$24)+0.5*MAX(0,'User Input'!$B$24-Profiles!U89))/40)</f>
        <v/>
      </c>
      <c r="J88" s="36">
        <f>ROUND(60*(E88+F88+G88+IFERROR(VALUE(H88),(E88+F88+G88)/3))/4 + 0.4*I88,1)</f>
        <v/>
      </c>
      <c r="K88" s="36">
        <f>IF(OR(AND('User Input'!$B$6="M",Profiles!$AG89="M"),AND('User Input'!$B$6="F",Profiles!$AG89="F")),1,0)</f>
        <v/>
      </c>
      <c r="L88" s="36">
        <f>IF('User Input'!$B$27="Either",(IF(Profiles!V89&gt;=4,1,0.3)+IF(OR(Profiles!V89&lt;=2,ISNUMBER(SEARCH("Individual",Profiles!D89))),1,0.3))/2,IF('User Input'!$B$27="Team",IF(Profiles!V89&gt;=4,1,0.3),IF(OR(Profiles!V89&lt;=2,ISNUMBER(SEARCH("Individual",Profiles!D89))),1,0.3)))</f>
        <v/>
      </c>
      <c r="M88" s="36">
        <f>IF(IFERROR(MATCH(Profiles!W89,{"None","Light","Medium","Heavy"},0)-1,0)&lt;=IFERROR(MATCH('User Input'!$B$28,{"None","Light","Medium","Heavy"},0)-1,3),1,MAX(0,1-0.4*(IFERROR(MATCH(Profiles!W89,{"None","Light","Medium","Heavy"},0)-1,0)-IFERROR(MATCH('User Input'!$B$28,{"None","Light","Medium","Heavy"},0)-1,3))))</f>
        <v/>
      </c>
      <c r="N88" s="36">
        <f>IF('User Input'!$B$29="neutral",1,IF('User Input'!$B$29="essential",IF(ISNUMBER(SEARCH("Outdoor",Profiles!X89)),1,0.3),IF('User Input'!$B$29="nice",IF(ISNUMBER(SEARCH("Outdoor",Profiles!X89)),1,0.65),IF('User Input'!$B$29="indoor",IF(ISNUMBER(SEARCH("Indoor",Profiles!X89)),1,0.4),1))))</f>
        <v/>
      </c>
      <c r="O88" s="36">
        <f>IF('User Input'!$B$30="Yes",1,IF(Profiles!Y89="Yes",0,1))</f>
        <v/>
      </c>
      <c r="P88" s="36">
        <f>IF(IFERROR(MATCH(Profiles!Z89,{"Low","Medium","High"},0),2)&lt;=IFERROR(MATCH('User Input'!$B$31,{"Low","Medium","High"},0),2),1,MAX(0,1-0.4*(IFERROR(MATCH(Profiles!Z89,{"Low","Medium","High"},0),2)-IFERROR(MATCH('User Input'!$B$31,{"Low","Medium","High"},0),2))))</f>
        <v/>
      </c>
      <c r="Q88" s="36">
        <f>IF('User Input'!$B$32="Yes",IF(ISNUMBER(Profiles!AC89),Profiles!AC89/10,0.5),1)</f>
        <v/>
      </c>
      <c r="R88" s="36">
        <f>IF(OR(K88=0,O88=0),0,ROUND(MIN(100,100*(K88*0.1+L88*0.2+M88*0.2+N88*0.1+P88*0.15+Q88*0.25)*W88*X88*Y88*Z88),1))</f>
        <v/>
      </c>
      <c r="S88" s="36">
        <f>IF(R88=0,0,ROUND(0.5*J88+0.5*R88,1))</f>
        <v/>
      </c>
      <c r="T88" s="36">
        <f>J88-ROW()/1000000</f>
        <v/>
      </c>
      <c r="U88" s="36">
        <f>R88-ROW()/1000000</f>
        <v/>
      </c>
      <c r="V88" s="36">
        <f>S88-ROW()/1000000</f>
        <v/>
      </c>
      <c r="W88" s="36">
        <f>IF(OR(AND(OR(Profiles!D89="Team field",Profiles!D89="Team field contact",Profiles!D89="Team field stick"),'User Input'!$B$34="Yes"),AND(OR(Profiles!D89="Team court",Profiles!D89="Team court contact"),'User Input'!$B$35="Yes"),AND(Profiles!D89="Individual racquet",'User Input'!$B$36="Yes"),AND(OR(Profiles!D89="Combat striking",Profiles!D89="Combat grappling",Profiles!D89="Combat mixed"),'User Input'!$B$37="Yes"),AND(OR(Profiles!D89="Team water contact",Profiles!D89="Individual water"),'User Input'!$B$38="Yes"),AND(OR(Profiles!D89="Endurance individual",Profiles!D89="Endurance individual / pair",Profiles!D89="Endurance individual / pursuit",Profiles!D89="Endurance team / pair",Profiles!D89="Endurance multi"),'User Input'!$B$39="Yes"),AND(OR(Profiles!D89="Strength individual",Profiles!D89="Power-throw individual"),'User Input'!$B$40="Yes"),AND(OR(Profiles!D89="Individual technical",Profiles!D89="Individual aesthetic",Profiles!D89="Team precision"),'User Input'!$B$41="Yes")),1.15,1)</f>
        <v/>
      </c>
      <c r="X88" s="36">
        <f>IF('User Input'!$B$33&lt;&gt;"none",1,IF(IFERROR(VALUE(TRIM(MID(SUBSTITUTE(SUBSTITUTE(Profiles!AA89,"–","-"),"-",REPT(" ",100)),100,100)))&lt;=14,FALSE),0.7,1))</f>
        <v/>
      </c>
      <c r="Y88" s="36">
        <f>IF(OR('User Input'!$B$42="under30",'User Input'!$B$42=""),1,IF('User Input'!$B$42="30to45",IF((IFERROR(MATCH(Profiles!W89,{"None","Light","Medium","Heavy"},0)-1,0)+IFERROR(MATCH(Profiles!AB89,{"Low","Medium","High"},0)-1,0))&gt;=5,0.85,1),IF('User Input'!$B$42="46to60",IF((IFERROR(MATCH(Profiles!W89,{"None","Light","Medium","Heavy"},0)-1,0)+IFERROR(MATCH(Profiles!AB89,{"Low","Medium","High"},0)-1,0))&gt;=5,0.65,IF((IFERROR(MATCH(Profiles!W89,{"None","Light","Medium","Heavy"},0)-1,0)+IFERROR(MATCH(Profiles!AB89,{"Low","Medium","High"},0)-1,0))&gt;=4,0.8,IF((IFERROR(MATCH(Profiles!W89,{"None","Light","Medium","Heavy"},0)-1,0)+IFERROR(MATCH(Profiles!AB89,{"Low","Medium","High"},0)-1,0))&gt;=3,0.9,1))),IF((IFERROR(MATCH(Profiles!W89,{"None","Light","Medium","Heavy"},0)-1,0)+IFERROR(MATCH(Profiles!AB89,{"Low","Medium","High"},0)-1,0))&gt;=5,0.4,IF((IFERROR(MATCH(Profiles!W89,{"None","Light","Medium","Heavy"},0)-1,0)+IFERROR(MATCH(Profiles!AB89,{"Low","Medium","High"},0)-1,0))&gt;=4,0.6,IF((IFERROR(MATCH(Profiles!W89,{"None","Light","Medium","Heavy"},0)-1,0)+IFERROR(MATCH(Profiles!AB89,{"Low","Medium","High"},0)-1,0))&gt;=3,0.75,IF((IFERROR(MATCH(Profiles!W89,{"None","Light","Medium","Heavy"},0)-1,0)+IFERROR(MATCH(Profiles!AB89,{"Low","Medium","High"},0)-1,0))&gt;=2,0.85,1)))))))</f>
        <v/>
      </c>
      <c r="Z88" s="36">
        <f>IF(OR('User Input'!$B$43="none",'User Input'!$B$43=""),1,IF('User Input'!$B$43="minor",IF(IFERROR(MATCH(Profiles!W89,{"None","Light","Medium","Heavy"},0)-1,0)&gt;=3,0.7,IF(IFERROR(MATCH(Profiles!W89,{"None","Light","Medium","Heavy"},0)-1,0)&gt;=2,0.85,1)),IF('User Input'!$B$43="joint",IF(OR(IFERROR(MATCH(Profiles!W89,{"None","Light","Medium","Heavy"},0)-1,0)&gt;=3,IFERROR(MATCH(Profiles!AB89,{"Low","Medium","High"},0)-1,0)&gt;=2),0.5,IF(OR(IFERROR(MATCH(Profiles!W89,{"None","Light","Medium","Heavy"},0)-1,0)&gt;=2,IFERROR(MATCH(Profiles!AB89,{"Low","Medium","High"},0)-1,0)&gt;=1),0.75,1)),IF(OR(IFERROR(MATCH(Profiles!W89,{"None","Light","Medium","Heavy"},0)-1,0)&gt;=2,IFERROR(MATCH(Profiles!AB89,{"Low","Medium","High"},0)-1,0)&gt;=2),0.3,IF(OR(IFERROR(MATCH(Profiles!W89,{"None","Light","Medium","Heavy"},0)-1,0)&gt;=1,IFERROR(MATCH(Profiles!AB89,{"Low","Medium","High"},0)-1,0)&gt;=1),0.6,0.9)))))</f>
        <v/>
      </c>
    </row>
    <row r="89">
      <c r="A89" s="36">
        <f>Profiles!A90</f>
        <v/>
      </c>
      <c r="B89" s="36">
        <f>Profiles!B90</f>
        <v/>
      </c>
      <c r="C89" s="36">
        <f>Profiles!C90</f>
        <v/>
      </c>
      <c r="D89" s="36">
        <f>Profiles!D90</f>
        <v/>
      </c>
      <c r="E89" s="36">
        <f>IF(ISNUMBER(Profiles!E90),IF(ISNUMBER(Profiles!F90),MAX(0,1-(MAX(0,ABS('User Input'!$B$9-Profiles!E90)-Profiles!F90))/Profiles!F90/3),MAX(0,1-ABS('User Input'!$B$9-Profiles!E90)/(Profiles!E90*0.1)/3)),0.5)</f>
        <v/>
      </c>
      <c r="F89" s="36">
        <f>IF(ISNUMBER(Profiles!G90),IF(ISNUMBER(Profiles!H90),MAX(0,1-(MAX(0,ABS('User Input'!$B$10-Profiles!G90)-Profiles!H90))/Profiles!H90/3),MAX(0,1-ABS('User Input'!$B$10-Profiles!G90)/(Profiles!G90*0.15)/3)),0.5)</f>
        <v/>
      </c>
      <c r="G89" s="36">
        <f>IF(ISNUMBER(Profiles!J90),MAX(0,1-ABS('User Input'!$B$12-Profiles!J90)/5/3),0.5)</f>
        <v/>
      </c>
      <c r="H89" s="36">
        <f>IF(ISNUMBER(Profiles!K90),MAX(0,1-ABS('User Input'!$B$14-Profiles!K90)/0.03/3),"n/a")</f>
        <v/>
      </c>
      <c r="I89" s="36">
        <f>100*MAX(0,1-(MAX(0,Profiles!M90-'User Input'!$B$17)+0.5*MAX(0,'User Input'!$B$17-Profiles!M90)+MAX(0,Profiles!N90-'User Input'!$B$18)+0.5*MAX(0,'User Input'!$B$18-Profiles!N90)+MAX(0,Profiles!O90-'User Input'!$B$19)+0.5*MAX(0,'User Input'!$B$19-Profiles!O90)+MAX(0,Profiles!P90-'User Input'!$B$20)+0.5*MAX(0,'User Input'!$B$20-Profiles!P90)+MAX(0,Profiles!Q90-'User Input'!$B$21)+0.5*MAX(0,'User Input'!$B$21-Profiles!Q90)+MAX(0,Profiles!S90-'User Input'!$B$22)+0.5*MAX(0,'User Input'!$B$22-Profiles!S90)+MAX(0,Profiles!T90-'User Input'!$B$23)+0.5*MAX(0,'User Input'!$B$23-Profiles!T90)+MAX(0,Profiles!U90-'User Input'!$B$24)+0.5*MAX(0,'User Input'!$B$24-Profiles!U90))/40)</f>
        <v/>
      </c>
      <c r="J89" s="36">
        <f>ROUND(60*(E89+F89+G89+IFERROR(VALUE(H89),(E89+F89+G89)/3))/4 + 0.4*I89,1)</f>
        <v/>
      </c>
      <c r="K89" s="36">
        <f>IF(OR(AND('User Input'!$B$6="M",Profiles!$AG90="M"),AND('User Input'!$B$6="F",Profiles!$AG90="F")),1,0)</f>
        <v/>
      </c>
      <c r="L89" s="36">
        <f>IF('User Input'!$B$27="Either",(IF(Profiles!V90&gt;=4,1,0.3)+IF(OR(Profiles!V90&lt;=2,ISNUMBER(SEARCH("Individual",Profiles!D90))),1,0.3))/2,IF('User Input'!$B$27="Team",IF(Profiles!V90&gt;=4,1,0.3),IF(OR(Profiles!V90&lt;=2,ISNUMBER(SEARCH("Individual",Profiles!D90))),1,0.3)))</f>
        <v/>
      </c>
      <c r="M89" s="36">
        <f>IF(IFERROR(MATCH(Profiles!W90,{"None","Light","Medium","Heavy"},0)-1,0)&lt;=IFERROR(MATCH('User Input'!$B$28,{"None","Light","Medium","Heavy"},0)-1,3),1,MAX(0,1-0.4*(IFERROR(MATCH(Profiles!W90,{"None","Light","Medium","Heavy"},0)-1,0)-IFERROR(MATCH('User Input'!$B$28,{"None","Light","Medium","Heavy"},0)-1,3))))</f>
        <v/>
      </c>
      <c r="N89" s="36">
        <f>IF('User Input'!$B$29="neutral",1,IF('User Input'!$B$29="essential",IF(ISNUMBER(SEARCH("Outdoor",Profiles!X90)),1,0.3),IF('User Input'!$B$29="nice",IF(ISNUMBER(SEARCH("Outdoor",Profiles!X90)),1,0.65),IF('User Input'!$B$29="indoor",IF(ISNUMBER(SEARCH("Indoor",Profiles!X90)),1,0.4),1))))</f>
        <v/>
      </c>
      <c r="O89" s="36">
        <f>IF('User Input'!$B$30="Yes",1,IF(Profiles!Y90="Yes",0,1))</f>
        <v/>
      </c>
      <c r="P89" s="36">
        <f>IF(IFERROR(MATCH(Profiles!Z90,{"Low","Medium","High"},0),2)&lt;=IFERROR(MATCH('User Input'!$B$31,{"Low","Medium","High"},0),2),1,MAX(0,1-0.4*(IFERROR(MATCH(Profiles!Z90,{"Low","Medium","High"},0),2)-IFERROR(MATCH('User Input'!$B$31,{"Low","Medium","High"},0),2))))</f>
        <v/>
      </c>
      <c r="Q89" s="36">
        <f>IF('User Input'!$B$32="Yes",IF(ISNUMBER(Profiles!AC90),Profiles!AC90/10,0.5),1)</f>
        <v/>
      </c>
      <c r="R89" s="36">
        <f>IF(OR(K89=0,O89=0),0,ROUND(MIN(100,100*(K89*0.1+L89*0.2+M89*0.2+N89*0.1+P89*0.15+Q89*0.25)*W89*X89*Y89*Z89),1))</f>
        <v/>
      </c>
      <c r="S89" s="36">
        <f>IF(R89=0,0,ROUND(0.5*J89+0.5*R89,1))</f>
        <v/>
      </c>
      <c r="T89" s="36">
        <f>J89-ROW()/1000000</f>
        <v/>
      </c>
      <c r="U89" s="36">
        <f>R89-ROW()/1000000</f>
        <v/>
      </c>
      <c r="V89" s="36">
        <f>S89-ROW()/1000000</f>
        <v/>
      </c>
      <c r="W89" s="36">
        <f>IF(OR(AND(OR(Profiles!D90="Team field",Profiles!D90="Team field contact",Profiles!D90="Team field stick"),'User Input'!$B$34="Yes"),AND(OR(Profiles!D90="Team court",Profiles!D90="Team court contact"),'User Input'!$B$35="Yes"),AND(Profiles!D90="Individual racquet",'User Input'!$B$36="Yes"),AND(OR(Profiles!D90="Combat striking",Profiles!D90="Combat grappling",Profiles!D90="Combat mixed"),'User Input'!$B$37="Yes"),AND(OR(Profiles!D90="Team water contact",Profiles!D90="Individual water"),'User Input'!$B$38="Yes"),AND(OR(Profiles!D90="Endurance individual",Profiles!D90="Endurance individual / pair",Profiles!D90="Endurance individual / pursuit",Profiles!D90="Endurance team / pair",Profiles!D90="Endurance multi"),'User Input'!$B$39="Yes"),AND(OR(Profiles!D90="Strength individual",Profiles!D90="Power-throw individual"),'User Input'!$B$40="Yes"),AND(OR(Profiles!D90="Individual technical",Profiles!D90="Individual aesthetic",Profiles!D90="Team precision"),'User Input'!$B$41="Yes")),1.15,1)</f>
        <v/>
      </c>
      <c r="X89" s="36">
        <f>IF('User Input'!$B$33&lt;&gt;"none",1,IF(IFERROR(VALUE(TRIM(MID(SUBSTITUTE(SUBSTITUTE(Profiles!AA90,"–","-"),"-",REPT(" ",100)),100,100)))&lt;=14,FALSE),0.7,1))</f>
        <v/>
      </c>
      <c r="Y89" s="36">
        <f>IF(OR('User Input'!$B$42="under30",'User Input'!$B$42=""),1,IF('User Input'!$B$42="30to45",IF((IFERROR(MATCH(Profiles!W90,{"None","Light","Medium","Heavy"},0)-1,0)+IFERROR(MATCH(Profiles!AB90,{"Low","Medium","High"},0)-1,0))&gt;=5,0.85,1),IF('User Input'!$B$42="46to60",IF((IFERROR(MATCH(Profiles!W90,{"None","Light","Medium","Heavy"},0)-1,0)+IFERROR(MATCH(Profiles!AB90,{"Low","Medium","High"},0)-1,0))&gt;=5,0.65,IF((IFERROR(MATCH(Profiles!W90,{"None","Light","Medium","Heavy"},0)-1,0)+IFERROR(MATCH(Profiles!AB90,{"Low","Medium","High"},0)-1,0))&gt;=4,0.8,IF((IFERROR(MATCH(Profiles!W90,{"None","Light","Medium","Heavy"},0)-1,0)+IFERROR(MATCH(Profiles!AB90,{"Low","Medium","High"},0)-1,0))&gt;=3,0.9,1))),IF((IFERROR(MATCH(Profiles!W90,{"None","Light","Medium","Heavy"},0)-1,0)+IFERROR(MATCH(Profiles!AB90,{"Low","Medium","High"},0)-1,0))&gt;=5,0.4,IF((IFERROR(MATCH(Profiles!W90,{"None","Light","Medium","Heavy"},0)-1,0)+IFERROR(MATCH(Profiles!AB90,{"Low","Medium","High"},0)-1,0))&gt;=4,0.6,IF((IFERROR(MATCH(Profiles!W90,{"None","Light","Medium","Heavy"},0)-1,0)+IFERROR(MATCH(Profiles!AB90,{"Low","Medium","High"},0)-1,0))&gt;=3,0.75,IF((IFERROR(MATCH(Profiles!W90,{"None","Light","Medium","Heavy"},0)-1,0)+IFERROR(MATCH(Profiles!AB90,{"Low","Medium","High"},0)-1,0))&gt;=2,0.85,1)))))))</f>
        <v/>
      </c>
      <c r="Z89" s="36">
        <f>IF(OR('User Input'!$B$43="none",'User Input'!$B$43=""),1,IF('User Input'!$B$43="minor",IF(IFERROR(MATCH(Profiles!W90,{"None","Light","Medium","Heavy"},0)-1,0)&gt;=3,0.7,IF(IFERROR(MATCH(Profiles!W90,{"None","Light","Medium","Heavy"},0)-1,0)&gt;=2,0.85,1)),IF('User Input'!$B$43="joint",IF(OR(IFERROR(MATCH(Profiles!W90,{"None","Light","Medium","Heavy"},0)-1,0)&gt;=3,IFERROR(MATCH(Profiles!AB90,{"Low","Medium","High"},0)-1,0)&gt;=2),0.5,IF(OR(IFERROR(MATCH(Profiles!W90,{"None","Light","Medium","Heavy"},0)-1,0)&gt;=2,IFERROR(MATCH(Profiles!AB90,{"Low","Medium","High"},0)-1,0)&gt;=1),0.75,1)),IF(OR(IFERROR(MATCH(Profiles!W90,{"None","Light","Medium","Heavy"},0)-1,0)&gt;=2,IFERROR(MATCH(Profiles!AB90,{"Low","Medium","High"},0)-1,0)&gt;=2),0.3,IF(OR(IFERROR(MATCH(Profiles!W90,{"None","Light","Medium","Heavy"},0)-1,0)&gt;=1,IFERROR(MATCH(Profiles!AB90,{"Low","Medium","High"},0)-1,0)&gt;=1),0.6,0.9)))))</f>
        <v/>
      </c>
    </row>
    <row r="90">
      <c r="A90" s="36">
        <f>Profiles!A91</f>
        <v/>
      </c>
      <c r="B90" s="36">
        <f>Profiles!B91</f>
        <v/>
      </c>
      <c r="C90" s="36">
        <f>Profiles!C91</f>
        <v/>
      </c>
      <c r="D90" s="36">
        <f>Profiles!D91</f>
        <v/>
      </c>
      <c r="E90" s="36">
        <f>IF(ISNUMBER(Profiles!E91),IF(ISNUMBER(Profiles!F91),MAX(0,1-(MAX(0,ABS('User Input'!$B$9-Profiles!E91)-Profiles!F91))/Profiles!F91/3),MAX(0,1-ABS('User Input'!$B$9-Profiles!E91)/(Profiles!E91*0.1)/3)),0.5)</f>
        <v/>
      </c>
      <c r="F90" s="36">
        <f>IF(ISNUMBER(Profiles!G91),IF(ISNUMBER(Profiles!H91),MAX(0,1-(MAX(0,ABS('User Input'!$B$10-Profiles!G91)-Profiles!H91))/Profiles!H91/3),MAX(0,1-ABS('User Input'!$B$10-Profiles!G91)/(Profiles!G91*0.15)/3)),0.5)</f>
        <v/>
      </c>
      <c r="G90" s="36">
        <f>IF(ISNUMBER(Profiles!J91),MAX(0,1-ABS('User Input'!$B$12-Profiles!J91)/5/3),0.5)</f>
        <v/>
      </c>
      <c r="H90" s="36">
        <f>IF(ISNUMBER(Profiles!K91),MAX(0,1-ABS('User Input'!$B$14-Profiles!K91)/0.03/3),"n/a")</f>
        <v/>
      </c>
      <c r="I90" s="36">
        <f>100*MAX(0,1-(MAX(0,Profiles!M91-'User Input'!$B$17)+0.5*MAX(0,'User Input'!$B$17-Profiles!M91)+MAX(0,Profiles!N91-'User Input'!$B$18)+0.5*MAX(0,'User Input'!$B$18-Profiles!N91)+MAX(0,Profiles!O91-'User Input'!$B$19)+0.5*MAX(0,'User Input'!$B$19-Profiles!O91)+MAX(0,Profiles!P91-'User Input'!$B$20)+0.5*MAX(0,'User Input'!$B$20-Profiles!P91)+MAX(0,Profiles!Q91-'User Input'!$B$21)+0.5*MAX(0,'User Input'!$B$21-Profiles!Q91)+MAX(0,Profiles!S91-'User Input'!$B$22)+0.5*MAX(0,'User Input'!$B$22-Profiles!S91)+MAX(0,Profiles!T91-'User Input'!$B$23)+0.5*MAX(0,'User Input'!$B$23-Profiles!T91)+MAX(0,Profiles!U91-'User Input'!$B$24)+0.5*MAX(0,'User Input'!$B$24-Profiles!U91))/40)</f>
        <v/>
      </c>
      <c r="J90" s="36">
        <f>ROUND(60*(E90+F90+G90+IFERROR(VALUE(H90),(E90+F90+G90)/3))/4 + 0.4*I90,1)</f>
        <v/>
      </c>
      <c r="K90" s="36">
        <f>IF(OR(AND('User Input'!$B$6="M",Profiles!$AG91="M"),AND('User Input'!$B$6="F",Profiles!$AG91="F")),1,0)</f>
        <v/>
      </c>
      <c r="L90" s="36">
        <f>IF('User Input'!$B$27="Either",(IF(Profiles!V91&gt;=4,1,0.3)+IF(OR(Profiles!V91&lt;=2,ISNUMBER(SEARCH("Individual",Profiles!D91))),1,0.3))/2,IF('User Input'!$B$27="Team",IF(Profiles!V91&gt;=4,1,0.3),IF(OR(Profiles!V91&lt;=2,ISNUMBER(SEARCH("Individual",Profiles!D91))),1,0.3)))</f>
        <v/>
      </c>
      <c r="M90" s="36">
        <f>IF(IFERROR(MATCH(Profiles!W91,{"None","Light","Medium","Heavy"},0)-1,0)&lt;=IFERROR(MATCH('User Input'!$B$28,{"None","Light","Medium","Heavy"},0)-1,3),1,MAX(0,1-0.4*(IFERROR(MATCH(Profiles!W91,{"None","Light","Medium","Heavy"},0)-1,0)-IFERROR(MATCH('User Input'!$B$28,{"None","Light","Medium","Heavy"},0)-1,3))))</f>
        <v/>
      </c>
      <c r="N90" s="36">
        <f>IF('User Input'!$B$29="neutral",1,IF('User Input'!$B$29="essential",IF(ISNUMBER(SEARCH("Outdoor",Profiles!X91)),1,0.3),IF('User Input'!$B$29="nice",IF(ISNUMBER(SEARCH("Outdoor",Profiles!X91)),1,0.65),IF('User Input'!$B$29="indoor",IF(ISNUMBER(SEARCH("Indoor",Profiles!X91)),1,0.4),1))))</f>
        <v/>
      </c>
      <c r="O90" s="36">
        <f>IF('User Input'!$B$30="Yes",1,IF(Profiles!Y91="Yes",0,1))</f>
        <v/>
      </c>
      <c r="P90" s="36">
        <f>IF(IFERROR(MATCH(Profiles!Z91,{"Low","Medium","High"},0),2)&lt;=IFERROR(MATCH('User Input'!$B$31,{"Low","Medium","High"},0),2),1,MAX(0,1-0.4*(IFERROR(MATCH(Profiles!Z91,{"Low","Medium","High"},0),2)-IFERROR(MATCH('User Input'!$B$31,{"Low","Medium","High"},0),2))))</f>
        <v/>
      </c>
      <c r="Q90" s="36">
        <f>IF('User Input'!$B$32="Yes",IF(ISNUMBER(Profiles!AC91),Profiles!AC91/10,0.5),1)</f>
        <v/>
      </c>
      <c r="R90" s="36">
        <f>IF(OR(K90=0,O90=0),0,ROUND(MIN(100,100*(K90*0.1+L90*0.2+M90*0.2+N90*0.1+P90*0.15+Q90*0.25)*W90*X90*Y90*Z90),1))</f>
        <v/>
      </c>
      <c r="S90" s="36">
        <f>IF(R90=0,0,ROUND(0.5*J90+0.5*R90,1))</f>
        <v/>
      </c>
      <c r="T90" s="36">
        <f>J90-ROW()/1000000</f>
        <v/>
      </c>
      <c r="U90" s="36">
        <f>R90-ROW()/1000000</f>
        <v/>
      </c>
      <c r="V90" s="36">
        <f>S90-ROW()/1000000</f>
        <v/>
      </c>
      <c r="W90" s="36">
        <f>IF(OR(AND(OR(Profiles!D91="Team field",Profiles!D91="Team field contact",Profiles!D91="Team field stick"),'User Input'!$B$34="Yes"),AND(OR(Profiles!D91="Team court",Profiles!D91="Team court contact"),'User Input'!$B$35="Yes"),AND(Profiles!D91="Individual racquet",'User Input'!$B$36="Yes"),AND(OR(Profiles!D91="Combat striking",Profiles!D91="Combat grappling",Profiles!D91="Combat mixed"),'User Input'!$B$37="Yes"),AND(OR(Profiles!D91="Team water contact",Profiles!D91="Individual water"),'User Input'!$B$38="Yes"),AND(OR(Profiles!D91="Endurance individual",Profiles!D91="Endurance individual / pair",Profiles!D91="Endurance individual / pursuit",Profiles!D91="Endurance team / pair",Profiles!D91="Endurance multi"),'User Input'!$B$39="Yes"),AND(OR(Profiles!D91="Strength individual",Profiles!D91="Power-throw individual"),'User Input'!$B$40="Yes"),AND(OR(Profiles!D91="Individual technical",Profiles!D91="Individual aesthetic",Profiles!D91="Team precision"),'User Input'!$B$41="Yes")),1.15,1)</f>
        <v/>
      </c>
      <c r="X90" s="36">
        <f>IF('User Input'!$B$33&lt;&gt;"none",1,IF(IFERROR(VALUE(TRIM(MID(SUBSTITUTE(SUBSTITUTE(Profiles!AA91,"–","-"),"-",REPT(" ",100)),100,100)))&lt;=14,FALSE),0.7,1))</f>
        <v/>
      </c>
      <c r="Y90" s="36">
        <f>IF(OR('User Input'!$B$42="under30",'User Input'!$B$42=""),1,IF('User Input'!$B$42="30to45",IF((IFERROR(MATCH(Profiles!W91,{"None","Light","Medium","Heavy"},0)-1,0)+IFERROR(MATCH(Profiles!AB91,{"Low","Medium","High"},0)-1,0))&gt;=5,0.85,1),IF('User Input'!$B$42="46to60",IF((IFERROR(MATCH(Profiles!W91,{"None","Light","Medium","Heavy"},0)-1,0)+IFERROR(MATCH(Profiles!AB91,{"Low","Medium","High"},0)-1,0))&gt;=5,0.65,IF((IFERROR(MATCH(Profiles!W91,{"None","Light","Medium","Heavy"},0)-1,0)+IFERROR(MATCH(Profiles!AB91,{"Low","Medium","High"},0)-1,0))&gt;=4,0.8,IF((IFERROR(MATCH(Profiles!W91,{"None","Light","Medium","Heavy"},0)-1,0)+IFERROR(MATCH(Profiles!AB91,{"Low","Medium","High"},0)-1,0))&gt;=3,0.9,1))),IF((IFERROR(MATCH(Profiles!W91,{"None","Light","Medium","Heavy"},0)-1,0)+IFERROR(MATCH(Profiles!AB91,{"Low","Medium","High"},0)-1,0))&gt;=5,0.4,IF((IFERROR(MATCH(Profiles!W91,{"None","Light","Medium","Heavy"},0)-1,0)+IFERROR(MATCH(Profiles!AB91,{"Low","Medium","High"},0)-1,0))&gt;=4,0.6,IF((IFERROR(MATCH(Profiles!W91,{"None","Light","Medium","Heavy"},0)-1,0)+IFERROR(MATCH(Profiles!AB91,{"Low","Medium","High"},0)-1,0))&gt;=3,0.75,IF((IFERROR(MATCH(Profiles!W91,{"None","Light","Medium","Heavy"},0)-1,0)+IFERROR(MATCH(Profiles!AB91,{"Low","Medium","High"},0)-1,0))&gt;=2,0.85,1)))))))</f>
        <v/>
      </c>
      <c r="Z90" s="36">
        <f>IF(OR('User Input'!$B$43="none",'User Input'!$B$43=""),1,IF('User Input'!$B$43="minor",IF(IFERROR(MATCH(Profiles!W91,{"None","Light","Medium","Heavy"},0)-1,0)&gt;=3,0.7,IF(IFERROR(MATCH(Profiles!W91,{"None","Light","Medium","Heavy"},0)-1,0)&gt;=2,0.85,1)),IF('User Input'!$B$43="joint",IF(OR(IFERROR(MATCH(Profiles!W91,{"None","Light","Medium","Heavy"},0)-1,0)&gt;=3,IFERROR(MATCH(Profiles!AB91,{"Low","Medium","High"},0)-1,0)&gt;=2),0.5,IF(OR(IFERROR(MATCH(Profiles!W91,{"None","Light","Medium","Heavy"},0)-1,0)&gt;=2,IFERROR(MATCH(Profiles!AB91,{"Low","Medium","High"},0)-1,0)&gt;=1),0.75,1)),IF(OR(IFERROR(MATCH(Profiles!W91,{"None","Light","Medium","Heavy"},0)-1,0)&gt;=2,IFERROR(MATCH(Profiles!AB91,{"Low","Medium","High"},0)-1,0)&gt;=2),0.3,IF(OR(IFERROR(MATCH(Profiles!W91,{"None","Light","Medium","Heavy"},0)-1,0)&gt;=1,IFERROR(MATCH(Profiles!AB91,{"Low","Medium","High"},0)-1,0)&gt;=1),0.6,0.9)))))</f>
        <v/>
      </c>
    </row>
    <row r="91">
      <c r="A91" s="36">
        <f>Profiles!A92</f>
        <v/>
      </c>
      <c r="B91" s="36">
        <f>Profiles!B92</f>
        <v/>
      </c>
      <c r="C91" s="36">
        <f>Profiles!C92</f>
        <v/>
      </c>
      <c r="D91" s="36">
        <f>Profiles!D92</f>
        <v/>
      </c>
      <c r="E91" s="36">
        <f>IF(ISNUMBER(Profiles!E92),IF(ISNUMBER(Profiles!F92),MAX(0,1-(MAX(0,ABS('User Input'!$B$9-Profiles!E92)-Profiles!F92))/Profiles!F92/3),MAX(0,1-ABS('User Input'!$B$9-Profiles!E92)/(Profiles!E92*0.1)/3)),0.5)</f>
        <v/>
      </c>
      <c r="F91" s="36">
        <f>IF(ISNUMBER(Profiles!G92),IF(ISNUMBER(Profiles!H92),MAX(0,1-(MAX(0,ABS('User Input'!$B$10-Profiles!G92)-Profiles!H92))/Profiles!H92/3),MAX(0,1-ABS('User Input'!$B$10-Profiles!G92)/(Profiles!G92*0.15)/3)),0.5)</f>
        <v/>
      </c>
      <c r="G91" s="36">
        <f>IF(ISNUMBER(Profiles!J92),MAX(0,1-ABS('User Input'!$B$12-Profiles!J92)/5/3),0.5)</f>
        <v/>
      </c>
      <c r="H91" s="36">
        <f>IF(ISNUMBER(Profiles!K92),MAX(0,1-ABS('User Input'!$B$14-Profiles!K92)/0.03/3),"n/a")</f>
        <v/>
      </c>
      <c r="I91" s="36">
        <f>100*MAX(0,1-(MAX(0,Profiles!M92-'User Input'!$B$17)+0.5*MAX(0,'User Input'!$B$17-Profiles!M92)+MAX(0,Profiles!N92-'User Input'!$B$18)+0.5*MAX(0,'User Input'!$B$18-Profiles!N92)+MAX(0,Profiles!O92-'User Input'!$B$19)+0.5*MAX(0,'User Input'!$B$19-Profiles!O92)+MAX(0,Profiles!P92-'User Input'!$B$20)+0.5*MAX(0,'User Input'!$B$20-Profiles!P92)+MAX(0,Profiles!Q92-'User Input'!$B$21)+0.5*MAX(0,'User Input'!$B$21-Profiles!Q92)+MAX(0,Profiles!S92-'User Input'!$B$22)+0.5*MAX(0,'User Input'!$B$22-Profiles!S92)+MAX(0,Profiles!T92-'User Input'!$B$23)+0.5*MAX(0,'User Input'!$B$23-Profiles!T92)+MAX(0,Profiles!U92-'User Input'!$B$24)+0.5*MAX(0,'User Input'!$B$24-Profiles!U92))/40)</f>
        <v/>
      </c>
      <c r="J91" s="36">
        <f>ROUND(60*(E91+F91+G91+IFERROR(VALUE(H91),(E91+F91+G91)/3))/4 + 0.4*I91,1)</f>
        <v/>
      </c>
      <c r="K91" s="36">
        <f>IF(OR(AND('User Input'!$B$6="M",Profiles!$AG92="M"),AND('User Input'!$B$6="F",Profiles!$AG92="F")),1,0)</f>
        <v/>
      </c>
      <c r="L91" s="36">
        <f>IF('User Input'!$B$27="Either",(IF(Profiles!V92&gt;=4,1,0.3)+IF(OR(Profiles!V92&lt;=2,ISNUMBER(SEARCH("Individual",Profiles!D92))),1,0.3))/2,IF('User Input'!$B$27="Team",IF(Profiles!V92&gt;=4,1,0.3),IF(OR(Profiles!V92&lt;=2,ISNUMBER(SEARCH("Individual",Profiles!D92))),1,0.3)))</f>
        <v/>
      </c>
      <c r="M91" s="36">
        <f>IF(IFERROR(MATCH(Profiles!W92,{"None","Light","Medium","Heavy"},0)-1,0)&lt;=IFERROR(MATCH('User Input'!$B$28,{"None","Light","Medium","Heavy"},0)-1,3),1,MAX(0,1-0.4*(IFERROR(MATCH(Profiles!W92,{"None","Light","Medium","Heavy"},0)-1,0)-IFERROR(MATCH('User Input'!$B$28,{"None","Light","Medium","Heavy"},0)-1,3))))</f>
        <v/>
      </c>
      <c r="N91" s="36">
        <f>IF('User Input'!$B$29="neutral",1,IF('User Input'!$B$29="essential",IF(ISNUMBER(SEARCH("Outdoor",Profiles!X92)),1,0.3),IF('User Input'!$B$29="nice",IF(ISNUMBER(SEARCH("Outdoor",Profiles!X92)),1,0.65),IF('User Input'!$B$29="indoor",IF(ISNUMBER(SEARCH("Indoor",Profiles!X92)),1,0.4),1))))</f>
        <v/>
      </c>
      <c r="O91" s="36">
        <f>IF('User Input'!$B$30="Yes",1,IF(Profiles!Y92="Yes",0,1))</f>
        <v/>
      </c>
      <c r="P91" s="36">
        <f>IF(IFERROR(MATCH(Profiles!Z92,{"Low","Medium","High"},0),2)&lt;=IFERROR(MATCH('User Input'!$B$31,{"Low","Medium","High"},0),2),1,MAX(0,1-0.4*(IFERROR(MATCH(Profiles!Z92,{"Low","Medium","High"},0),2)-IFERROR(MATCH('User Input'!$B$31,{"Low","Medium","High"},0),2))))</f>
        <v/>
      </c>
      <c r="Q91" s="36">
        <f>IF('User Input'!$B$32="Yes",IF(ISNUMBER(Profiles!AC92),Profiles!AC92/10,0.5),1)</f>
        <v/>
      </c>
      <c r="R91" s="36">
        <f>IF(OR(K91=0,O91=0),0,ROUND(MIN(100,100*(K91*0.1+L91*0.2+M91*0.2+N91*0.1+P91*0.15+Q91*0.25)*W91*X91*Y91*Z91),1))</f>
        <v/>
      </c>
      <c r="S91" s="36">
        <f>IF(R91=0,0,ROUND(0.5*J91+0.5*R91,1))</f>
        <v/>
      </c>
      <c r="T91" s="36">
        <f>J91-ROW()/1000000</f>
        <v/>
      </c>
      <c r="U91" s="36">
        <f>R91-ROW()/1000000</f>
        <v/>
      </c>
      <c r="V91" s="36">
        <f>S91-ROW()/1000000</f>
        <v/>
      </c>
      <c r="W91" s="36">
        <f>IF(OR(AND(OR(Profiles!D92="Team field",Profiles!D92="Team field contact",Profiles!D92="Team field stick"),'User Input'!$B$34="Yes"),AND(OR(Profiles!D92="Team court",Profiles!D92="Team court contact"),'User Input'!$B$35="Yes"),AND(Profiles!D92="Individual racquet",'User Input'!$B$36="Yes"),AND(OR(Profiles!D92="Combat striking",Profiles!D92="Combat grappling",Profiles!D92="Combat mixed"),'User Input'!$B$37="Yes"),AND(OR(Profiles!D92="Team water contact",Profiles!D92="Individual water"),'User Input'!$B$38="Yes"),AND(OR(Profiles!D92="Endurance individual",Profiles!D92="Endurance individual / pair",Profiles!D92="Endurance individual / pursuit",Profiles!D92="Endurance team / pair",Profiles!D92="Endurance multi"),'User Input'!$B$39="Yes"),AND(OR(Profiles!D92="Strength individual",Profiles!D92="Power-throw individual"),'User Input'!$B$40="Yes"),AND(OR(Profiles!D92="Individual technical",Profiles!D92="Individual aesthetic",Profiles!D92="Team precision"),'User Input'!$B$41="Yes")),1.15,1)</f>
        <v/>
      </c>
      <c r="X91" s="36">
        <f>IF('User Input'!$B$33&lt;&gt;"none",1,IF(IFERROR(VALUE(TRIM(MID(SUBSTITUTE(SUBSTITUTE(Profiles!AA92,"–","-"),"-",REPT(" ",100)),100,100)))&lt;=14,FALSE),0.7,1))</f>
        <v/>
      </c>
      <c r="Y91" s="36">
        <f>IF(OR('User Input'!$B$42="under30",'User Input'!$B$42=""),1,IF('User Input'!$B$42="30to45",IF((IFERROR(MATCH(Profiles!W92,{"None","Light","Medium","Heavy"},0)-1,0)+IFERROR(MATCH(Profiles!AB92,{"Low","Medium","High"},0)-1,0))&gt;=5,0.85,1),IF('User Input'!$B$42="46to60",IF((IFERROR(MATCH(Profiles!W92,{"None","Light","Medium","Heavy"},0)-1,0)+IFERROR(MATCH(Profiles!AB92,{"Low","Medium","High"},0)-1,0))&gt;=5,0.65,IF((IFERROR(MATCH(Profiles!W92,{"None","Light","Medium","Heavy"},0)-1,0)+IFERROR(MATCH(Profiles!AB92,{"Low","Medium","High"},0)-1,0))&gt;=4,0.8,IF((IFERROR(MATCH(Profiles!W92,{"None","Light","Medium","Heavy"},0)-1,0)+IFERROR(MATCH(Profiles!AB92,{"Low","Medium","High"},0)-1,0))&gt;=3,0.9,1))),IF((IFERROR(MATCH(Profiles!W92,{"None","Light","Medium","Heavy"},0)-1,0)+IFERROR(MATCH(Profiles!AB92,{"Low","Medium","High"},0)-1,0))&gt;=5,0.4,IF((IFERROR(MATCH(Profiles!W92,{"None","Light","Medium","Heavy"},0)-1,0)+IFERROR(MATCH(Profiles!AB92,{"Low","Medium","High"},0)-1,0))&gt;=4,0.6,IF((IFERROR(MATCH(Profiles!W92,{"None","Light","Medium","Heavy"},0)-1,0)+IFERROR(MATCH(Profiles!AB92,{"Low","Medium","High"},0)-1,0))&gt;=3,0.75,IF((IFERROR(MATCH(Profiles!W92,{"None","Light","Medium","Heavy"},0)-1,0)+IFERROR(MATCH(Profiles!AB92,{"Low","Medium","High"},0)-1,0))&gt;=2,0.85,1)))))))</f>
        <v/>
      </c>
      <c r="Z91" s="36">
        <f>IF(OR('User Input'!$B$43="none",'User Input'!$B$43=""),1,IF('User Input'!$B$43="minor",IF(IFERROR(MATCH(Profiles!W92,{"None","Light","Medium","Heavy"},0)-1,0)&gt;=3,0.7,IF(IFERROR(MATCH(Profiles!W92,{"None","Light","Medium","Heavy"},0)-1,0)&gt;=2,0.85,1)),IF('User Input'!$B$43="joint",IF(OR(IFERROR(MATCH(Profiles!W92,{"None","Light","Medium","Heavy"},0)-1,0)&gt;=3,IFERROR(MATCH(Profiles!AB92,{"Low","Medium","High"},0)-1,0)&gt;=2),0.5,IF(OR(IFERROR(MATCH(Profiles!W92,{"None","Light","Medium","Heavy"},0)-1,0)&gt;=2,IFERROR(MATCH(Profiles!AB92,{"Low","Medium","High"},0)-1,0)&gt;=1),0.75,1)),IF(OR(IFERROR(MATCH(Profiles!W92,{"None","Light","Medium","Heavy"},0)-1,0)&gt;=2,IFERROR(MATCH(Profiles!AB92,{"Low","Medium","High"},0)-1,0)&gt;=2),0.3,IF(OR(IFERROR(MATCH(Profiles!W92,{"None","Light","Medium","Heavy"},0)-1,0)&gt;=1,IFERROR(MATCH(Profiles!AB92,{"Low","Medium","High"},0)-1,0)&gt;=1),0.6,0.9)))))</f>
        <v/>
      </c>
    </row>
    <row r="92">
      <c r="A92" s="36">
        <f>Profiles!A93</f>
        <v/>
      </c>
      <c r="B92" s="36">
        <f>Profiles!B93</f>
        <v/>
      </c>
      <c r="C92" s="36">
        <f>Profiles!C93</f>
        <v/>
      </c>
      <c r="D92" s="36">
        <f>Profiles!D93</f>
        <v/>
      </c>
      <c r="E92" s="36">
        <f>IF(ISNUMBER(Profiles!E93),IF(ISNUMBER(Profiles!F93),MAX(0,1-(MAX(0,ABS('User Input'!$B$9-Profiles!E93)-Profiles!F93))/Profiles!F93/3),MAX(0,1-ABS('User Input'!$B$9-Profiles!E93)/(Profiles!E93*0.1)/3)),0.5)</f>
        <v/>
      </c>
      <c r="F92" s="36">
        <f>IF(ISNUMBER(Profiles!G93),IF(ISNUMBER(Profiles!H93),MAX(0,1-(MAX(0,ABS('User Input'!$B$10-Profiles!G93)-Profiles!H93))/Profiles!H93/3),MAX(0,1-ABS('User Input'!$B$10-Profiles!G93)/(Profiles!G93*0.15)/3)),0.5)</f>
        <v/>
      </c>
      <c r="G92" s="36">
        <f>IF(ISNUMBER(Profiles!J93),MAX(0,1-ABS('User Input'!$B$12-Profiles!J93)/5/3),0.5)</f>
        <v/>
      </c>
      <c r="H92" s="36">
        <f>IF(ISNUMBER(Profiles!K93),MAX(0,1-ABS('User Input'!$B$14-Profiles!K93)/0.03/3),"n/a")</f>
        <v/>
      </c>
      <c r="I92" s="36">
        <f>100*MAX(0,1-(MAX(0,Profiles!M93-'User Input'!$B$17)+0.5*MAX(0,'User Input'!$B$17-Profiles!M93)+MAX(0,Profiles!N93-'User Input'!$B$18)+0.5*MAX(0,'User Input'!$B$18-Profiles!N93)+MAX(0,Profiles!O93-'User Input'!$B$19)+0.5*MAX(0,'User Input'!$B$19-Profiles!O93)+MAX(0,Profiles!P93-'User Input'!$B$20)+0.5*MAX(0,'User Input'!$B$20-Profiles!P93)+MAX(0,Profiles!Q93-'User Input'!$B$21)+0.5*MAX(0,'User Input'!$B$21-Profiles!Q93)+MAX(0,Profiles!S93-'User Input'!$B$22)+0.5*MAX(0,'User Input'!$B$22-Profiles!S93)+MAX(0,Profiles!T93-'User Input'!$B$23)+0.5*MAX(0,'User Input'!$B$23-Profiles!T93)+MAX(0,Profiles!U93-'User Input'!$B$24)+0.5*MAX(0,'User Input'!$B$24-Profiles!U93))/40)</f>
        <v/>
      </c>
      <c r="J92" s="36">
        <f>ROUND(60*(E92+F92+G92+IFERROR(VALUE(H92),(E92+F92+G92)/3))/4 + 0.4*I92,1)</f>
        <v/>
      </c>
      <c r="K92" s="36">
        <f>IF(OR(AND('User Input'!$B$6="M",Profiles!$AG93="M"),AND('User Input'!$B$6="F",Profiles!$AG93="F")),1,0)</f>
        <v/>
      </c>
      <c r="L92" s="36">
        <f>IF('User Input'!$B$27="Either",(IF(Profiles!V93&gt;=4,1,0.3)+IF(OR(Profiles!V93&lt;=2,ISNUMBER(SEARCH("Individual",Profiles!D93))),1,0.3))/2,IF('User Input'!$B$27="Team",IF(Profiles!V93&gt;=4,1,0.3),IF(OR(Profiles!V93&lt;=2,ISNUMBER(SEARCH("Individual",Profiles!D93))),1,0.3)))</f>
        <v/>
      </c>
      <c r="M92" s="36">
        <f>IF(IFERROR(MATCH(Profiles!W93,{"None","Light","Medium","Heavy"},0)-1,0)&lt;=IFERROR(MATCH('User Input'!$B$28,{"None","Light","Medium","Heavy"},0)-1,3),1,MAX(0,1-0.4*(IFERROR(MATCH(Profiles!W93,{"None","Light","Medium","Heavy"},0)-1,0)-IFERROR(MATCH('User Input'!$B$28,{"None","Light","Medium","Heavy"},0)-1,3))))</f>
        <v/>
      </c>
      <c r="N92" s="36">
        <f>IF('User Input'!$B$29="neutral",1,IF('User Input'!$B$29="essential",IF(ISNUMBER(SEARCH("Outdoor",Profiles!X93)),1,0.3),IF('User Input'!$B$29="nice",IF(ISNUMBER(SEARCH("Outdoor",Profiles!X93)),1,0.65),IF('User Input'!$B$29="indoor",IF(ISNUMBER(SEARCH("Indoor",Profiles!X93)),1,0.4),1))))</f>
        <v/>
      </c>
      <c r="O92" s="36">
        <f>IF('User Input'!$B$30="Yes",1,IF(Profiles!Y93="Yes",0,1))</f>
        <v/>
      </c>
      <c r="P92" s="36">
        <f>IF(IFERROR(MATCH(Profiles!Z93,{"Low","Medium","High"},0),2)&lt;=IFERROR(MATCH('User Input'!$B$31,{"Low","Medium","High"},0),2),1,MAX(0,1-0.4*(IFERROR(MATCH(Profiles!Z93,{"Low","Medium","High"},0),2)-IFERROR(MATCH('User Input'!$B$31,{"Low","Medium","High"},0),2))))</f>
        <v/>
      </c>
      <c r="Q92" s="36">
        <f>IF('User Input'!$B$32="Yes",IF(ISNUMBER(Profiles!AC93),Profiles!AC93/10,0.5),1)</f>
        <v/>
      </c>
      <c r="R92" s="36">
        <f>IF(OR(K92=0,O92=0),0,ROUND(MIN(100,100*(K92*0.1+L92*0.2+M92*0.2+N92*0.1+P92*0.15+Q92*0.25)*W92*X92*Y92*Z92),1))</f>
        <v/>
      </c>
      <c r="S92" s="36">
        <f>IF(R92=0,0,ROUND(0.5*J92+0.5*R92,1))</f>
        <v/>
      </c>
      <c r="T92" s="36">
        <f>J92-ROW()/1000000</f>
        <v/>
      </c>
      <c r="U92" s="36">
        <f>R92-ROW()/1000000</f>
        <v/>
      </c>
      <c r="V92" s="36">
        <f>S92-ROW()/1000000</f>
        <v/>
      </c>
      <c r="W92" s="36">
        <f>IF(OR(AND(OR(Profiles!D93="Team field",Profiles!D93="Team field contact",Profiles!D93="Team field stick"),'User Input'!$B$34="Yes"),AND(OR(Profiles!D93="Team court",Profiles!D93="Team court contact"),'User Input'!$B$35="Yes"),AND(Profiles!D93="Individual racquet",'User Input'!$B$36="Yes"),AND(OR(Profiles!D93="Combat striking",Profiles!D93="Combat grappling",Profiles!D93="Combat mixed"),'User Input'!$B$37="Yes"),AND(OR(Profiles!D93="Team water contact",Profiles!D93="Individual water"),'User Input'!$B$38="Yes"),AND(OR(Profiles!D93="Endurance individual",Profiles!D93="Endurance individual / pair",Profiles!D93="Endurance individual / pursuit",Profiles!D93="Endurance team / pair",Profiles!D93="Endurance multi"),'User Input'!$B$39="Yes"),AND(OR(Profiles!D93="Strength individual",Profiles!D93="Power-throw individual"),'User Input'!$B$40="Yes"),AND(OR(Profiles!D93="Individual technical",Profiles!D93="Individual aesthetic",Profiles!D93="Team precision"),'User Input'!$B$41="Yes")),1.15,1)</f>
        <v/>
      </c>
      <c r="X92" s="36">
        <f>IF('User Input'!$B$33&lt;&gt;"none",1,IF(IFERROR(VALUE(TRIM(MID(SUBSTITUTE(SUBSTITUTE(Profiles!AA93,"–","-"),"-",REPT(" ",100)),100,100)))&lt;=14,FALSE),0.7,1))</f>
        <v/>
      </c>
      <c r="Y92" s="36">
        <f>IF(OR('User Input'!$B$42="under30",'User Input'!$B$42=""),1,IF('User Input'!$B$42="30to45",IF((IFERROR(MATCH(Profiles!W93,{"None","Light","Medium","Heavy"},0)-1,0)+IFERROR(MATCH(Profiles!AB93,{"Low","Medium","High"},0)-1,0))&gt;=5,0.85,1),IF('User Input'!$B$42="46to60",IF((IFERROR(MATCH(Profiles!W93,{"None","Light","Medium","Heavy"},0)-1,0)+IFERROR(MATCH(Profiles!AB93,{"Low","Medium","High"},0)-1,0))&gt;=5,0.65,IF((IFERROR(MATCH(Profiles!W93,{"None","Light","Medium","Heavy"},0)-1,0)+IFERROR(MATCH(Profiles!AB93,{"Low","Medium","High"},0)-1,0))&gt;=4,0.8,IF((IFERROR(MATCH(Profiles!W93,{"None","Light","Medium","Heavy"},0)-1,0)+IFERROR(MATCH(Profiles!AB93,{"Low","Medium","High"},0)-1,0))&gt;=3,0.9,1))),IF((IFERROR(MATCH(Profiles!W93,{"None","Light","Medium","Heavy"},0)-1,0)+IFERROR(MATCH(Profiles!AB93,{"Low","Medium","High"},0)-1,0))&gt;=5,0.4,IF((IFERROR(MATCH(Profiles!W93,{"None","Light","Medium","Heavy"},0)-1,0)+IFERROR(MATCH(Profiles!AB93,{"Low","Medium","High"},0)-1,0))&gt;=4,0.6,IF((IFERROR(MATCH(Profiles!W93,{"None","Light","Medium","Heavy"},0)-1,0)+IFERROR(MATCH(Profiles!AB93,{"Low","Medium","High"},0)-1,0))&gt;=3,0.75,IF((IFERROR(MATCH(Profiles!W93,{"None","Light","Medium","Heavy"},0)-1,0)+IFERROR(MATCH(Profiles!AB93,{"Low","Medium","High"},0)-1,0))&gt;=2,0.85,1)))))))</f>
        <v/>
      </c>
      <c r="Z92" s="36">
        <f>IF(OR('User Input'!$B$43="none",'User Input'!$B$43=""),1,IF('User Input'!$B$43="minor",IF(IFERROR(MATCH(Profiles!W93,{"None","Light","Medium","Heavy"},0)-1,0)&gt;=3,0.7,IF(IFERROR(MATCH(Profiles!W93,{"None","Light","Medium","Heavy"},0)-1,0)&gt;=2,0.85,1)),IF('User Input'!$B$43="joint",IF(OR(IFERROR(MATCH(Profiles!W93,{"None","Light","Medium","Heavy"},0)-1,0)&gt;=3,IFERROR(MATCH(Profiles!AB93,{"Low","Medium","High"},0)-1,0)&gt;=2),0.5,IF(OR(IFERROR(MATCH(Profiles!W93,{"None","Light","Medium","Heavy"},0)-1,0)&gt;=2,IFERROR(MATCH(Profiles!AB93,{"Low","Medium","High"},0)-1,0)&gt;=1),0.75,1)),IF(OR(IFERROR(MATCH(Profiles!W93,{"None","Light","Medium","Heavy"},0)-1,0)&gt;=2,IFERROR(MATCH(Profiles!AB93,{"Low","Medium","High"},0)-1,0)&gt;=2),0.3,IF(OR(IFERROR(MATCH(Profiles!W93,{"None","Light","Medium","Heavy"},0)-1,0)&gt;=1,IFERROR(MATCH(Profiles!AB93,{"Low","Medium","High"},0)-1,0)&gt;=1),0.6,0.9)))))</f>
        <v/>
      </c>
    </row>
    <row r="93">
      <c r="A93" s="36">
        <f>Profiles!A94</f>
        <v/>
      </c>
      <c r="B93" s="36">
        <f>Profiles!B94</f>
        <v/>
      </c>
      <c r="C93" s="36">
        <f>Profiles!C94</f>
        <v/>
      </c>
      <c r="D93" s="36">
        <f>Profiles!D94</f>
        <v/>
      </c>
      <c r="E93" s="36">
        <f>IF(ISNUMBER(Profiles!E94),IF(ISNUMBER(Profiles!F94),MAX(0,1-(MAX(0,ABS('User Input'!$B$9-Profiles!E94)-Profiles!F94))/Profiles!F94/3),MAX(0,1-ABS('User Input'!$B$9-Profiles!E94)/(Profiles!E94*0.1)/3)),0.5)</f>
        <v/>
      </c>
      <c r="F93" s="36">
        <f>IF(ISNUMBER(Profiles!G94),IF(ISNUMBER(Profiles!H94),MAX(0,1-(MAX(0,ABS('User Input'!$B$10-Profiles!G94)-Profiles!H94))/Profiles!H94/3),MAX(0,1-ABS('User Input'!$B$10-Profiles!G94)/(Profiles!G94*0.15)/3)),0.5)</f>
        <v/>
      </c>
      <c r="G93" s="36">
        <f>IF(ISNUMBER(Profiles!J94),MAX(0,1-ABS('User Input'!$B$12-Profiles!J94)/5/3),0.5)</f>
        <v/>
      </c>
      <c r="H93" s="36">
        <f>IF(ISNUMBER(Profiles!K94),MAX(0,1-ABS('User Input'!$B$14-Profiles!K94)/0.03/3),"n/a")</f>
        <v/>
      </c>
      <c r="I93" s="36">
        <f>100*MAX(0,1-(MAX(0,Profiles!M94-'User Input'!$B$17)+0.5*MAX(0,'User Input'!$B$17-Profiles!M94)+MAX(0,Profiles!N94-'User Input'!$B$18)+0.5*MAX(0,'User Input'!$B$18-Profiles!N94)+MAX(0,Profiles!O94-'User Input'!$B$19)+0.5*MAX(0,'User Input'!$B$19-Profiles!O94)+MAX(0,Profiles!P94-'User Input'!$B$20)+0.5*MAX(0,'User Input'!$B$20-Profiles!P94)+MAX(0,Profiles!Q94-'User Input'!$B$21)+0.5*MAX(0,'User Input'!$B$21-Profiles!Q94)+MAX(0,Profiles!S94-'User Input'!$B$22)+0.5*MAX(0,'User Input'!$B$22-Profiles!S94)+MAX(0,Profiles!T94-'User Input'!$B$23)+0.5*MAX(0,'User Input'!$B$23-Profiles!T94)+MAX(0,Profiles!U94-'User Input'!$B$24)+0.5*MAX(0,'User Input'!$B$24-Profiles!U94))/40)</f>
        <v/>
      </c>
      <c r="J93" s="36">
        <f>ROUND(60*(E93+F93+G93+IFERROR(VALUE(H93),(E93+F93+G93)/3))/4 + 0.4*I93,1)</f>
        <v/>
      </c>
      <c r="K93" s="36">
        <f>IF(OR(AND('User Input'!$B$6="M",Profiles!$AG94="M"),AND('User Input'!$B$6="F",Profiles!$AG94="F")),1,0)</f>
        <v/>
      </c>
      <c r="L93" s="36">
        <f>IF('User Input'!$B$27="Either",(IF(Profiles!V94&gt;=4,1,0.3)+IF(OR(Profiles!V94&lt;=2,ISNUMBER(SEARCH("Individual",Profiles!D94))),1,0.3))/2,IF('User Input'!$B$27="Team",IF(Profiles!V94&gt;=4,1,0.3),IF(OR(Profiles!V94&lt;=2,ISNUMBER(SEARCH("Individual",Profiles!D94))),1,0.3)))</f>
        <v/>
      </c>
      <c r="M93" s="36">
        <f>IF(IFERROR(MATCH(Profiles!W94,{"None","Light","Medium","Heavy"},0)-1,0)&lt;=IFERROR(MATCH('User Input'!$B$28,{"None","Light","Medium","Heavy"},0)-1,3),1,MAX(0,1-0.4*(IFERROR(MATCH(Profiles!W94,{"None","Light","Medium","Heavy"},0)-1,0)-IFERROR(MATCH('User Input'!$B$28,{"None","Light","Medium","Heavy"},0)-1,3))))</f>
        <v/>
      </c>
      <c r="N93" s="36">
        <f>IF('User Input'!$B$29="neutral",1,IF('User Input'!$B$29="essential",IF(ISNUMBER(SEARCH("Outdoor",Profiles!X94)),1,0.3),IF('User Input'!$B$29="nice",IF(ISNUMBER(SEARCH("Outdoor",Profiles!X94)),1,0.65),IF('User Input'!$B$29="indoor",IF(ISNUMBER(SEARCH("Indoor",Profiles!X94)),1,0.4),1))))</f>
        <v/>
      </c>
      <c r="O93" s="36">
        <f>IF('User Input'!$B$30="Yes",1,IF(Profiles!Y94="Yes",0,1))</f>
        <v/>
      </c>
      <c r="P93" s="36">
        <f>IF(IFERROR(MATCH(Profiles!Z94,{"Low","Medium","High"},0),2)&lt;=IFERROR(MATCH('User Input'!$B$31,{"Low","Medium","High"},0),2),1,MAX(0,1-0.4*(IFERROR(MATCH(Profiles!Z94,{"Low","Medium","High"},0),2)-IFERROR(MATCH('User Input'!$B$31,{"Low","Medium","High"},0),2))))</f>
        <v/>
      </c>
      <c r="Q93" s="36">
        <f>IF('User Input'!$B$32="Yes",IF(ISNUMBER(Profiles!AC94),Profiles!AC94/10,0.5),1)</f>
        <v/>
      </c>
      <c r="R93" s="36">
        <f>IF(OR(K93=0,O93=0),0,ROUND(MIN(100,100*(K93*0.1+L93*0.2+M93*0.2+N93*0.1+P93*0.15+Q93*0.25)*W93*X93*Y93*Z93),1))</f>
        <v/>
      </c>
      <c r="S93" s="36">
        <f>IF(R93=0,0,ROUND(0.5*J93+0.5*R93,1))</f>
        <v/>
      </c>
      <c r="T93" s="36">
        <f>J93-ROW()/1000000</f>
        <v/>
      </c>
      <c r="U93" s="36">
        <f>R93-ROW()/1000000</f>
        <v/>
      </c>
      <c r="V93" s="36">
        <f>S93-ROW()/1000000</f>
        <v/>
      </c>
      <c r="W93" s="36">
        <f>IF(OR(AND(OR(Profiles!D94="Team field",Profiles!D94="Team field contact",Profiles!D94="Team field stick"),'User Input'!$B$34="Yes"),AND(OR(Profiles!D94="Team court",Profiles!D94="Team court contact"),'User Input'!$B$35="Yes"),AND(Profiles!D94="Individual racquet",'User Input'!$B$36="Yes"),AND(OR(Profiles!D94="Combat striking",Profiles!D94="Combat grappling",Profiles!D94="Combat mixed"),'User Input'!$B$37="Yes"),AND(OR(Profiles!D94="Team water contact",Profiles!D94="Individual water"),'User Input'!$B$38="Yes"),AND(OR(Profiles!D94="Endurance individual",Profiles!D94="Endurance individual / pair",Profiles!D94="Endurance individual / pursuit",Profiles!D94="Endurance team / pair",Profiles!D94="Endurance multi"),'User Input'!$B$39="Yes"),AND(OR(Profiles!D94="Strength individual",Profiles!D94="Power-throw individual"),'User Input'!$B$40="Yes"),AND(OR(Profiles!D94="Individual technical",Profiles!D94="Individual aesthetic",Profiles!D94="Team precision"),'User Input'!$B$41="Yes")),1.15,1)</f>
        <v/>
      </c>
      <c r="X93" s="36">
        <f>IF('User Input'!$B$33&lt;&gt;"none",1,IF(IFERROR(VALUE(TRIM(MID(SUBSTITUTE(SUBSTITUTE(Profiles!AA94,"–","-"),"-",REPT(" ",100)),100,100)))&lt;=14,FALSE),0.7,1))</f>
        <v/>
      </c>
      <c r="Y93" s="36">
        <f>IF(OR('User Input'!$B$42="under30",'User Input'!$B$42=""),1,IF('User Input'!$B$42="30to45",IF((IFERROR(MATCH(Profiles!W94,{"None","Light","Medium","Heavy"},0)-1,0)+IFERROR(MATCH(Profiles!AB94,{"Low","Medium","High"},0)-1,0))&gt;=5,0.85,1),IF('User Input'!$B$42="46to60",IF((IFERROR(MATCH(Profiles!W94,{"None","Light","Medium","Heavy"},0)-1,0)+IFERROR(MATCH(Profiles!AB94,{"Low","Medium","High"},0)-1,0))&gt;=5,0.65,IF((IFERROR(MATCH(Profiles!W94,{"None","Light","Medium","Heavy"},0)-1,0)+IFERROR(MATCH(Profiles!AB94,{"Low","Medium","High"},0)-1,0))&gt;=4,0.8,IF((IFERROR(MATCH(Profiles!W94,{"None","Light","Medium","Heavy"},0)-1,0)+IFERROR(MATCH(Profiles!AB94,{"Low","Medium","High"},0)-1,0))&gt;=3,0.9,1))),IF((IFERROR(MATCH(Profiles!W94,{"None","Light","Medium","Heavy"},0)-1,0)+IFERROR(MATCH(Profiles!AB94,{"Low","Medium","High"},0)-1,0))&gt;=5,0.4,IF((IFERROR(MATCH(Profiles!W94,{"None","Light","Medium","Heavy"},0)-1,0)+IFERROR(MATCH(Profiles!AB94,{"Low","Medium","High"},0)-1,0))&gt;=4,0.6,IF((IFERROR(MATCH(Profiles!W94,{"None","Light","Medium","Heavy"},0)-1,0)+IFERROR(MATCH(Profiles!AB94,{"Low","Medium","High"},0)-1,0))&gt;=3,0.75,IF((IFERROR(MATCH(Profiles!W94,{"None","Light","Medium","Heavy"},0)-1,0)+IFERROR(MATCH(Profiles!AB94,{"Low","Medium","High"},0)-1,0))&gt;=2,0.85,1)))))))</f>
        <v/>
      </c>
      <c r="Z93" s="36">
        <f>IF(OR('User Input'!$B$43="none",'User Input'!$B$43=""),1,IF('User Input'!$B$43="minor",IF(IFERROR(MATCH(Profiles!W94,{"None","Light","Medium","Heavy"},0)-1,0)&gt;=3,0.7,IF(IFERROR(MATCH(Profiles!W94,{"None","Light","Medium","Heavy"},0)-1,0)&gt;=2,0.85,1)),IF('User Input'!$B$43="joint",IF(OR(IFERROR(MATCH(Profiles!W94,{"None","Light","Medium","Heavy"},0)-1,0)&gt;=3,IFERROR(MATCH(Profiles!AB94,{"Low","Medium","High"},0)-1,0)&gt;=2),0.5,IF(OR(IFERROR(MATCH(Profiles!W94,{"None","Light","Medium","Heavy"},0)-1,0)&gt;=2,IFERROR(MATCH(Profiles!AB94,{"Low","Medium","High"},0)-1,0)&gt;=1),0.75,1)),IF(OR(IFERROR(MATCH(Profiles!W94,{"None","Light","Medium","Heavy"},0)-1,0)&gt;=2,IFERROR(MATCH(Profiles!AB94,{"Low","Medium","High"},0)-1,0)&gt;=2),0.3,IF(OR(IFERROR(MATCH(Profiles!W94,{"None","Light","Medium","Heavy"},0)-1,0)&gt;=1,IFERROR(MATCH(Profiles!AB94,{"Low","Medium","High"},0)-1,0)&gt;=1),0.6,0.9)))))</f>
        <v/>
      </c>
    </row>
    <row r="94">
      <c r="A94" s="36">
        <f>Profiles!A95</f>
        <v/>
      </c>
      <c r="B94" s="36">
        <f>Profiles!B95</f>
        <v/>
      </c>
      <c r="C94" s="36">
        <f>Profiles!C95</f>
        <v/>
      </c>
      <c r="D94" s="36">
        <f>Profiles!D95</f>
        <v/>
      </c>
      <c r="E94" s="36">
        <f>IF(ISNUMBER(Profiles!E95),IF(ISNUMBER(Profiles!F95),MAX(0,1-(MAX(0,ABS('User Input'!$B$9-Profiles!E95)-Profiles!F95))/Profiles!F95/3),MAX(0,1-ABS('User Input'!$B$9-Profiles!E95)/(Profiles!E95*0.1)/3)),0.5)</f>
        <v/>
      </c>
      <c r="F94" s="36">
        <f>IF(ISNUMBER(Profiles!G95),IF(ISNUMBER(Profiles!H95),MAX(0,1-(MAX(0,ABS('User Input'!$B$10-Profiles!G95)-Profiles!H95))/Profiles!H95/3),MAX(0,1-ABS('User Input'!$B$10-Profiles!G95)/(Profiles!G95*0.15)/3)),0.5)</f>
        <v/>
      </c>
      <c r="G94" s="36">
        <f>IF(ISNUMBER(Profiles!J95),MAX(0,1-ABS('User Input'!$B$12-Profiles!J95)/5/3),0.5)</f>
        <v/>
      </c>
      <c r="H94" s="36">
        <f>IF(ISNUMBER(Profiles!K95),MAX(0,1-ABS('User Input'!$B$14-Profiles!K95)/0.03/3),"n/a")</f>
        <v/>
      </c>
      <c r="I94" s="36">
        <f>100*MAX(0,1-(MAX(0,Profiles!M95-'User Input'!$B$17)+0.5*MAX(0,'User Input'!$B$17-Profiles!M95)+MAX(0,Profiles!N95-'User Input'!$B$18)+0.5*MAX(0,'User Input'!$B$18-Profiles!N95)+MAX(0,Profiles!O95-'User Input'!$B$19)+0.5*MAX(0,'User Input'!$B$19-Profiles!O95)+MAX(0,Profiles!P95-'User Input'!$B$20)+0.5*MAX(0,'User Input'!$B$20-Profiles!P95)+MAX(0,Profiles!Q95-'User Input'!$B$21)+0.5*MAX(0,'User Input'!$B$21-Profiles!Q95)+MAX(0,Profiles!S95-'User Input'!$B$22)+0.5*MAX(0,'User Input'!$B$22-Profiles!S95)+MAX(0,Profiles!T95-'User Input'!$B$23)+0.5*MAX(0,'User Input'!$B$23-Profiles!T95)+MAX(0,Profiles!U95-'User Input'!$B$24)+0.5*MAX(0,'User Input'!$B$24-Profiles!U95))/40)</f>
        <v/>
      </c>
      <c r="J94" s="36">
        <f>ROUND(60*(E94+F94+G94+IFERROR(VALUE(H94),(E94+F94+G94)/3))/4 + 0.4*I94,1)</f>
        <v/>
      </c>
      <c r="K94" s="36">
        <f>IF(OR(AND('User Input'!$B$6="M",Profiles!$AG95="M"),AND('User Input'!$B$6="F",Profiles!$AG95="F")),1,0)</f>
        <v/>
      </c>
      <c r="L94" s="36">
        <f>IF('User Input'!$B$27="Either",(IF(Profiles!V95&gt;=4,1,0.3)+IF(OR(Profiles!V95&lt;=2,ISNUMBER(SEARCH("Individual",Profiles!D95))),1,0.3))/2,IF('User Input'!$B$27="Team",IF(Profiles!V95&gt;=4,1,0.3),IF(OR(Profiles!V95&lt;=2,ISNUMBER(SEARCH("Individual",Profiles!D95))),1,0.3)))</f>
        <v/>
      </c>
      <c r="M94" s="36">
        <f>IF(IFERROR(MATCH(Profiles!W95,{"None","Light","Medium","Heavy"},0)-1,0)&lt;=IFERROR(MATCH('User Input'!$B$28,{"None","Light","Medium","Heavy"},0)-1,3),1,MAX(0,1-0.4*(IFERROR(MATCH(Profiles!W95,{"None","Light","Medium","Heavy"},0)-1,0)-IFERROR(MATCH('User Input'!$B$28,{"None","Light","Medium","Heavy"},0)-1,3))))</f>
        <v/>
      </c>
      <c r="N94" s="36">
        <f>IF('User Input'!$B$29="neutral",1,IF('User Input'!$B$29="essential",IF(ISNUMBER(SEARCH("Outdoor",Profiles!X95)),1,0.3),IF('User Input'!$B$29="nice",IF(ISNUMBER(SEARCH("Outdoor",Profiles!X95)),1,0.65),IF('User Input'!$B$29="indoor",IF(ISNUMBER(SEARCH("Indoor",Profiles!X95)),1,0.4),1))))</f>
        <v/>
      </c>
      <c r="O94" s="36">
        <f>IF('User Input'!$B$30="Yes",1,IF(Profiles!Y95="Yes",0,1))</f>
        <v/>
      </c>
      <c r="P94" s="36">
        <f>IF(IFERROR(MATCH(Profiles!Z95,{"Low","Medium","High"},0),2)&lt;=IFERROR(MATCH('User Input'!$B$31,{"Low","Medium","High"},0),2),1,MAX(0,1-0.4*(IFERROR(MATCH(Profiles!Z95,{"Low","Medium","High"},0),2)-IFERROR(MATCH('User Input'!$B$31,{"Low","Medium","High"},0),2))))</f>
        <v/>
      </c>
      <c r="Q94" s="36">
        <f>IF('User Input'!$B$32="Yes",IF(ISNUMBER(Profiles!AC95),Profiles!AC95/10,0.5),1)</f>
        <v/>
      </c>
      <c r="R94" s="36">
        <f>IF(OR(K94=0,O94=0),0,ROUND(MIN(100,100*(K94*0.1+L94*0.2+M94*0.2+N94*0.1+P94*0.15+Q94*0.25)*W94*X94*Y94*Z94),1))</f>
        <v/>
      </c>
      <c r="S94" s="36">
        <f>IF(R94=0,0,ROUND(0.5*J94+0.5*R94,1))</f>
        <v/>
      </c>
      <c r="T94" s="36">
        <f>J94-ROW()/1000000</f>
        <v/>
      </c>
      <c r="U94" s="36">
        <f>R94-ROW()/1000000</f>
        <v/>
      </c>
      <c r="V94" s="36">
        <f>S94-ROW()/1000000</f>
        <v/>
      </c>
      <c r="W94" s="36">
        <f>IF(OR(AND(OR(Profiles!D95="Team field",Profiles!D95="Team field contact",Profiles!D95="Team field stick"),'User Input'!$B$34="Yes"),AND(OR(Profiles!D95="Team court",Profiles!D95="Team court contact"),'User Input'!$B$35="Yes"),AND(Profiles!D95="Individual racquet",'User Input'!$B$36="Yes"),AND(OR(Profiles!D95="Combat striking",Profiles!D95="Combat grappling",Profiles!D95="Combat mixed"),'User Input'!$B$37="Yes"),AND(OR(Profiles!D95="Team water contact",Profiles!D95="Individual water"),'User Input'!$B$38="Yes"),AND(OR(Profiles!D95="Endurance individual",Profiles!D95="Endurance individual / pair",Profiles!D95="Endurance individual / pursuit",Profiles!D95="Endurance team / pair",Profiles!D95="Endurance multi"),'User Input'!$B$39="Yes"),AND(OR(Profiles!D95="Strength individual",Profiles!D95="Power-throw individual"),'User Input'!$B$40="Yes"),AND(OR(Profiles!D95="Individual technical",Profiles!D95="Individual aesthetic",Profiles!D95="Team precision"),'User Input'!$B$41="Yes")),1.15,1)</f>
        <v/>
      </c>
      <c r="X94" s="36">
        <f>IF('User Input'!$B$33&lt;&gt;"none",1,IF(IFERROR(VALUE(TRIM(MID(SUBSTITUTE(SUBSTITUTE(Profiles!AA95,"–","-"),"-",REPT(" ",100)),100,100)))&lt;=14,FALSE),0.7,1))</f>
        <v/>
      </c>
      <c r="Y94" s="36">
        <f>IF(OR('User Input'!$B$42="under30",'User Input'!$B$42=""),1,IF('User Input'!$B$42="30to45",IF((IFERROR(MATCH(Profiles!W95,{"None","Light","Medium","Heavy"},0)-1,0)+IFERROR(MATCH(Profiles!AB95,{"Low","Medium","High"},0)-1,0))&gt;=5,0.85,1),IF('User Input'!$B$42="46to60",IF((IFERROR(MATCH(Profiles!W95,{"None","Light","Medium","Heavy"},0)-1,0)+IFERROR(MATCH(Profiles!AB95,{"Low","Medium","High"},0)-1,0))&gt;=5,0.65,IF((IFERROR(MATCH(Profiles!W95,{"None","Light","Medium","Heavy"},0)-1,0)+IFERROR(MATCH(Profiles!AB95,{"Low","Medium","High"},0)-1,0))&gt;=4,0.8,IF((IFERROR(MATCH(Profiles!W95,{"None","Light","Medium","Heavy"},0)-1,0)+IFERROR(MATCH(Profiles!AB95,{"Low","Medium","High"},0)-1,0))&gt;=3,0.9,1))),IF((IFERROR(MATCH(Profiles!W95,{"None","Light","Medium","Heavy"},0)-1,0)+IFERROR(MATCH(Profiles!AB95,{"Low","Medium","High"},0)-1,0))&gt;=5,0.4,IF((IFERROR(MATCH(Profiles!W95,{"None","Light","Medium","Heavy"},0)-1,0)+IFERROR(MATCH(Profiles!AB95,{"Low","Medium","High"},0)-1,0))&gt;=4,0.6,IF((IFERROR(MATCH(Profiles!W95,{"None","Light","Medium","Heavy"},0)-1,0)+IFERROR(MATCH(Profiles!AB95,{"Low","Medium","High"},0)-1,0))&gt;=3,0.75,IF((IFERROR(MATCH(Profiles!W95,{"None","Light","Medium","Heavy"},0)-1,0)+IFERROR(MATCH(Profiles!AB95,{"Low","Medium","High"},0)-1,0))&gt;=2,0.85,1)))))))</f>
        <v/>
      </c>
      <c r="Z94" s="36">
        <f>IF(OR('User Input'!$B$43="none",'User Input'!$B$43=""),1,IF('User Input'!$B$43="minor",IF(IFERROR(MATCH(Profiles!W95,{"None","Light","Medium","Heavy"},0)-1,0)&gt;=3,0.7,IF(IFERROR(MATCH(Profiles!W95,{"None","Light","Medium","Heavy"},0)-1,0)&gt;=2,0.85,1)),IF('User Input'!$B$43="joint",IF(OR(IFERROR(MATCH(Profiles!W95,{"None","Light","Medium","Heavy"},0)-1,0)&gt;=3,IFERROR(MATCH(Profiles!AB95,{"Low","Medium","High"},0)-1,0)&gt;=2),0.5,IF(OR(IFERROR(MATCH(Profiles!W95,{"None","Light","Medium","Heavy"},0)-1,0)&gt;=2,IFERROR(MATCH(Profiles!AB95,{"Low","Medium","High"},0)-1,0)&gt;=1),0.75,1)),IF(OR(IFERROR(MATCH(Profiles!W95,{"None","Light","Medium","Heavy"},0)-1,0)&gt;=2,IFERROR(MATCH(Profiles!AB95,{"Low","Medium","High"},0)-1,0)&gt;=2),0.3,IF(OR(IFERROR(MATCH(Profiles!W95,{"None","Light","Medium","Heavy"},0)-1,0)&gt;=1,IFERROR(MATCH(Profiles!AB95,{"Low","Medium","High"},0)-1,0)&gt;=1),0.6,0.9)))))</f>
        <v/>
      </c>
    </row>
    <row r="95">
      <c r="A95" s="36">
        <f>Profiles!A96</f>
        <v/>
      </c>
      <c r="B95" s="36">
        <f>Profiles!B96</f>
        <v/>
      </c>
      <c r="C95" s="36">
        <f>Profiles!C96</f>
        <v/>
      </c>
      <c r="D95" s="36">
        <f>Profiles!D96</f>
        <v/>
      </c>
      <c r="E95" s="36">
        <f>IF(ISNUMBER(Profiles!E96),IF(ISNUMBER(Profiles!F96),MAX(0,1-(MAX(0,ABS('User Input'!$B$9-Profiles!E96)-Profiles!F96))/Profiles!F96/3),MAX(0,1-ABS('User Input'!$B$9-Profiles!E96)/(Profiles!E96*0.1)/3)),0.5)</f>
        <v/>
      </c>
      <c r="F95" s="36">
        <f>IF(ISNUMBER(Profiles!G96),IF(ISNUMBER(Profiles!H96),MAX(0,1-(MAX(0,ABS('User Input'!$B$10-Profiles!G96)-Profiles!H96))/Profiles!H96/3),MAX(0,1-ABS('User Input'!$B$10-Profiles!G96)/(Profiles!G96*0.15)/3)),0.5)</f>
        <v/>
      </c>
      <c r="G95" s="36">
        <f>IF(ISNUMBER(Profiles!J96),MAX(0,1-ABS('User Input'!$B$12-Profiles!J96)/5/3),0.5)</f>
        <v/>
      </c>
      <c r="H95" s="36">
        <f>IF(ISNUMBER(Profiles!K96),MAX(0,1-ABS('User Input'!$B$14-Profiles!K96)/0.03/3),"n/a")</f>
        <v/>
      </c>
      <c r="I95" s="36">
        <f>100*MAX(0,1-(MAX(0,Profiles!M96-'User Input'!$B$17)+0.5*MAX(0,'User Input'!$B$17-Profiles!M96)+MAX(0,Profiles!N96-'User Input'!$B$18)+0.5*MAX(0,'User Input'!$B$18-Profiles!N96)+MAX(0,Profiles!O96-'User Input'!$B$19)+0.5*MAX(0,'User Input'!$B$19-Profiles!O96)+MAX(0,Profiles!P96-'User Input'!$B$20)+0.5*MAX(0,'User Input'!$B$20-Profiles!P96)+MAX(0,Profiles!Q96-'User Input'!$B$21)+0.5*MAX(0,'User Input'!$B$21-Profiles!Q96)+MAX(0,Profiles!S96-'User Input'!$B$22)+0.5*MAX(0,'User Input'!$B$22-Profiles!S96)+MAX(0,Profiles!T96-'User Input'!$B$23)+0.5*MAX(0,'User Input'!$B$23-Profiles!T96)+MAX(0,Profiles!U96-'User Input'!$B$24)+0.5*MAX(0,'User Input'!$B$24-Profiles!U96))/40)</f>
        <v/>
      </c>
      <c r="J95" s="36">
        <f>ROUND(60*(E95+F95+G95+IFERROR(VALUE(H95),(E95+F95+G95)/3))/4 + 0.4*I95,1)</f>
        <v/>
      </c>
      <c r="K95" s="36">
        <f>IF(OR(AND('User Input'!$B$6="M",Profiles!$AG96="M"),AND('User Input'!$B$6="F",Profiles!$AG96="F")),1,0)</f>
        <v/>
      </c>
      <c r="L95" s="36">
        <f>IF('User Input'!$B$27="Either",(IF(Profiles!V96&gt;=4,1,0.3)+IF(OR(Profiles!V96&lt;=2,ISNUMBER(SEARCH("Individual",Profiles!D96))),1,0.3))/2,IF('User Input'!$B$27="Team",IF(Profiles!V96&gt;=4,1,0.3),IF(OR(Profiles!V96&lt;=2,ISNUMBER(SEARCH("Individual",Profiles!D96))),1,0.3)))</f>
        <v/>
      </c>
      <c r="M95" s="36">
        <f>IF(IFERROR(MATCH(Profiles!W96,{"None","Light","Medium","Heavy"},0)-1,0)&lt;=IFERROR(MATCH('User Input'!$B$28,{"None","Light","Medium","Heavy"},0)-1,3),1,MAX(0,1-0.4*(IFERROR(MATCH(Profiles!W96,{"None","Light","Medium","Heavy"},0)-1,0)-IFERROR(MATCH('User Input'!$B$28,{"None","Light","Medium","Heavy"},0)-1,3))))</f>
        <v/>
      </c>
      <c r="N95" s="36">
        <f>IF('User Input'!$B$29="neutral",1,IF('User Input'!$B$29="essential",IF(ISNUMBER(SEARCH("Outdoor",Profiles!X96)),1,0.3),IF('User Input'!$B$29="nice",IF(ISNUMBER(SEARCH("Outdoor",Profiles!X96)),1,0.65),IF('User Input'!$B$29="indoor",IF(ISNUMBER(SEARCH("Indoor",Profiles!X96)),1,0.4),1))))</f>
        <v/>
      </c>
      <c r="O95" s="36">
        <f>IF('User Input'!$B$30="Yes",1,IF(Profiles!Y96="Yes",0,1))</f>
        <v/>
      </c>
      <c r="P95" s="36">
        <f>IF(IFERROR(MATCH(Profiles!Z96,{"Low","Medium","High"},0),2)&lt;=IFERROR(MATCH('User Input'!$B$31,{"Low","Medium","High"},0),2),1,MAX(0,1-0.4*(IFERROR(MATCH(Profiles!Z96,{"Low","Medium","High"},0),2)-IFERROR(MATCH('User Input'!$B$31,{"Low","Medium","High"},0),2))))</f>
        <v/>
      </c>
      <c r="Q95" s="36">
        <f>IF('User Input'!$B$32="Yes",IF(ISNUMBER(Profiles!AC96),Profiles!AC96/10,0.5),1)</f>
        <v/>
      </c>
      <c r="R95" s="36">
        <f>IF(OR(K95=0,O95=0),0,ROUND(MIN(100,100*(K95*0.1+L95*0.2+M95*0.2+N95*0.1+P95*0.15+Q95*0.25)*W95*X95*Y95*Z95),1))</f>
        <v/>
      </c>
      <c r="S95" s="36">
        <f>IF(R95=0,0,ROUND(0.5*J95+0.5*R95,1))</f>
        <v/>
      </c>
      <c r="T95" s="36">
        <f>J95-ROW()/1000000</f>
        <v/>
      </c>
      <c r="U95" s="36">
        <f>R95-ROW()/1000000</f>
        <v/>
      </c>
      <c r="V95" s="36">
        <f>S95-ROW()/1000000</f>
        <v/>
      </c>
      <c r="W95" s="36">
        <f>IF(OR(AND(OR(Profiles!D96="Team field",Profiles!D96="Team field contact",Profiles!D96="Team field stick"),'User Input'!$B$34="Yes"),AND(OR(Profiles!D96="Team court",Profiles!D96="Team court contact"),'User Input'!$B$35="Yes"),AND(Profiles!D96="Individual racquet",'User Input'!$B$36="Yes"),AND(OR(Profiles!D96="Combat striking",Profiles!D96="Combat grappling",Profiles!D96="Combat mixed"),'User Input'!$B$37="Yes"),AND(OR(Profiles!D96="Team water contact",Profiles!D96="Individual water"),'User Input'!$B$38="Yes"),AND(OR(Profiles!D96="Endurance individual",Profiles!D96="Endurance individual / pair",Profiles!D96="Endurance individual / pursuit",Profiles!D96="Endurance team / pair",Profiles!D96="Endurance multi"),'User Input'!$B$39="Yes"),AND(OR(Profiles!D96="Strength individual",Profiles!D96="Power-throw individual"),'User Input'!$B$40="Yes"),AND(OR(Profiles!D96="Individual technical",Profiles!D96="Individual aesthetic",Profiles!D96="Team precision"),'User Input'!$B$41="Yes")),1.15,1)</f>
        <v/>
      </c>
      <c r="X95" s="36">
        <f>IF('User Input'!$B$33&lt;&gt;"none",1,IF(IFERROR(VALUE(TRIM(MID(SUBSTITUTE(SUBSTITUTE(Profiles!AA96,"–","-"),"-",REPT(" ",100)),100,100)))&lt;=14,FALSE),0.7,1))</f>
        <v/>
      </c>
      <c r="Y95" s="36">
        <f>IF(OR('User Input'!$B$42="under30",'User Input'!$B$42=""),1,IF('User Input'!$B$42="30to45",IF((IFERROR(MATCH(Profiles!W96,{"None","Light","Medium","Heavy"},0)-1,0)+IFERROR(MATCH(Profiles!AB96,{"Low","Medium","High"},0)-1,0))&gt;=5,0.85,1),IF('User Input'!$B$42="46to60",IF((IFERROR(MATCH(Profiles!W96,{"None","Light","Medium","Heavy"},0)-1,0)+IFERROR(MATCH(Profiles!AB96,{"Low","Medium","High"},0)-1,0))&gt;=5,0.65,IF((IFERROR(MATCH(Profiles!W96,{"None","Light","Medium","Heavy"},0)-1,0)+IFERROR(MATCH(Profiles!AB96,{"Low","Medium","High"},0)-1,0))&gt;=4,0.8,IF((IFERROR(MATCH(Profiles!W96,{"None","Light","Medium","Heavy"},0)-1,0)+IFERROR(MATCH(Profiles!AB96,{"Low","Medium","High"},0)-1,0))&gt;=3,0.9,1))),IF((IFERROR(MATCH(Profiles!W96,{"None","Light","Medium","Heavy"},0)-1,0)+IFERROR(MATCH(Profiles!AB96,{"Low","Medium","High"},0)-1,0))&gt;=5,0.4,IF((IFERROR(MATCH(Profiles!W96,{"None","Light","Medium","Heavy"},0)-1,0)+IFERROR(MATCH(Profiles!AB96,{"Low","Medium","High"},0)-1,0))&gt;=4,0.6,IF((IFERROR(MATCH(Profiles!W96,{"None","Light","Medium","Heavy"},0)-1,0)+IFERROR(MATCH(Profiles!AB96,{"Low","Medium","High"},0)-1,0))&gt;=3,0.75,IF((IFERROR(MATCH(Profiles!W96,{"None","Light","Medium","Heavy"},0)-1,0)+IFERROR(MATCH(Profiles!AB96,{"Low","Medium","High"},0)-1,0))&gt;=2,0.85,1)))))))</f>
        <v/>
      </c>
      <c r="Z95" s="36">
        <f>IF(OR('User Input'!$B$43="none",'User Input'!$B$43=""),1,IF('User Input'!$B$43="minor",IF(IFERROR(MATCH(Profiles!W96,{"None","Light","Medium","Heavy"},0)-1,0)&gt;=3,0.7,IF(IFERROR(MATCH(Profiles!W96,{"None","Light","Medium","Heavy"},0)-1,0)&gt;=2,0.85,1)),IF('User Input'!$B$43="joint",IF(OR(IFERROR(MATCH(Profiles!W96,{"None","Light","Medium","Heavy"},0)-1,0)&gt;=3,IFERROR(MATCH(Profiles!AB96,{"Low","Medium","High"},0)-1,0)&gt;=2),0.5,IF(OR(IFERROR(MATCH(Profiles!W96,{"None","Light","Medium","Heavy"},0)-1,0)&gt;=2,IFERROR(MATCH(Profiles!AB96,{"Low","Medium","High"},0)-1,0)&gt;=1),0.75,1)),IF(OR(IFERROR(MATCH(Profiles!W96,{"None","Light","Medium","Heavy"},0)-1,0)&gt;=2,IFERROR(MATCH(Profiles!AB96,{"Low","Medium","High"},0)-1,0)&gt;=2),0.3,IF(OR(IFERROR(MATCH(Profiles!W96,{"None","Light","Medium","Heavy"},0)-1,0)&gt;=1,IFERROR(MATCH(Profiles!AB96,{"Low","Medium","High"},0)-1,0)&gt;=1),0.6,0.9)))))</f>
        <v/>
      </c>
    </row>
    <row r="96">
      <c r="A96" s="36">
        <f>Profiles!A97</f>
        <v/>
      </c>
      <c r="B96" s="36">
        <f>Profiles!B97</f>
        <v/>
      </c>
      <c r="C96" s="36">
        <f>Profiles!C97</f>
        <v/>
      </c>
      <c r="D96" s="36">
        <f>Profiles!D97</f>
        <v/>
      </c>
      <c r="E96" s="36">
        <f>IF(ISNUMBER(Profiles!E97),IF(ISNUMBER(Profiles!F97),MAX(0,1-(MAX(0,ABS('User Input'!$B$9-Profiles!E97)-Profiles!F97))/Profiles!F97/3),MAX(0,1-ABS('User Input'!$B$9-Profiles!E97)/(Profiles!E97*0.1)/3)),0.5)</f>
        <v/>
      </c>
      <c r="F96" s="36">
        <f>IF(ISNUMBER(Profiles!G97),IF(ISNUMBER(Profiles!H97),MAX(0,1-(MAX(0,ABS('User Input'!$B$10-Profiles!G97)-Profiles!H97))/Profiles!H97/3),MAX(0,1-ABS('User Input'!$B$10-Profiles!G97)/(Profiles!G97*0.15)/3)),0.5)</f>
        <v/>
      </c>
      <c r="G96" s="36">
        <f>IF(ISNUMBER(Profiles!J97),MAX(0,1-ABS('User Input'!$B$12-Profiles!J97)/5/3),0.5)</f>
        <v/>
      </c>
      <c r="H96" s="36">
        <f>IF(ISNUMBER(Profiles!K97),MAX(0,1-ABS('User Input'!$B$14-Profiles!K97)/0.03/3),"n/a")</f>
        <v/>
      </c>
      <c r="I96" s="36">
        <f>100*MAX(0,1-(MAX(0,Profiles!M97-'User Input'!$B$17)+0.5*MAX(0,'User Input'!$B$17-Profiles!M97)+MAX(0,Profiles!N97-'User Input'!$B$18)+0.5*MAX(0,'User Input'!$B$18-Profiles!N97)+MAX(0,Profiles!O97-'User Input'!$B$19)+0.5*MAX(0,'User Input'!$B$19-Profiles!O97)+MAX(0,Profiles!P97-'User Input'!$B$20)+0.5*MAX(0,'User Input'!$B$20-Profiles!P97)+MAX(0,Profiles!Q97-'User Input'!$B$21)+0.5*MAX(0,'User Input'!$B$21-Profiles!Q97)+MAX(0,Profiles!S97-'User Input'!$B$22)+0.5*MAX(0,'User Input'!$B$22-Profiles!S97)+MAX(0,Profiles!T97-'User Input'!$B$23)+0.5*MAX(0,'User Input'!$B$23-Profiles!T97)+MAX(0,Profiles!U97-'User Input'!$B$24)+0.5*MAX(0,'User Input'!$B$24-Profiles!U97))/40)</f>
        <v/>
      </c>
      <c r="J96" s="36">
        <f>ROUND(60*(E96+F96+G96+IFERROR(VALUE(H96),(E96+F96+G96)/3))/4 + 0.4*I96,1)</f>
        <v/>
      </c>
      <c r="K96" s="36">
        <f>IF(OR(AND('User Input'!$B$6="M",Profiles!$AG97="M"),AND('User Input'!$B$6="F",Profiles!$AG97="F")),1,0)</f>
        <v/>
      </c>
      <c r="L96" s="36">
        <f>IF('User Input'!$B$27="Either",(IF(Profiles!V97&gt;=4,1,0.3)+IF(OR(Profiles!V97&lt;=2,ISNUMBER(SEARCH("Individual",Profiles!D97))),1,0.3))/2,IF('User Input'!$B$27="Team",IF(Profiles!V97&gt;=4,1,0.3),IF(OR(Profiles!V97&lt;=2,ISNUMBER(SEARCH("Individual",Profiles!D97))),1,0.3)))</f>
        <v/>
      </c>
      <c r="M96" s="36">
        <f>IF(IFERROR(MATCH(Profiles!W97,{"None","Light","Medium","Heavy"},0)-1,0)&lt;=IFERROR(MATCH('User Input'!$B$28,{"None","Light","Medium","Heavy"},0)-1,3),1,MAX(0,1-0.4*(IFERROR(MATCH(Profiles!W97,{"None","Light","Medium","Heavy"},0)-1,0)-IFERROR(MATCH('User Input'!$B$28,{"None","Light","Medium","Heavy"},0)-1,3))))</f>
        <v/>
      </c>
      <c r="N96" s="36">
        <f>IF('User Input'!$B$29="neutral",1,IF('User Input'!$B$29="essential",IF(ISNUMBER(SEARCH("Outdoor",Profiles!X97)),1,0.3),IF('User Input'!$B$29="nice",IF(ISNUMBER(SEARCH("Outdoor",Profiles!X97)),1,0.65),IF('User Input'!$B$29="indoor",IF(ISNUMBER(SEARCH("Indoor",Profiles!X97)),1,0.4),1))))</f>
        <v/>
      </c>
      <c r="O96" s="36">
        <f>IF('User Input'!$B$30="Yes",1,IF(Profiles!Y97="Yes",0,1))</f>
        <v/>
      </c>
      <c r="P96" s="36">
        <f>IF(IFERROR(MATCH(Profiles!Z97,{"Low","Medium","High"},0),2)&lt;=IFERROR(MATCH('User Input'!$B$31,{"Low","Medium","High"},0),2),1,MAX(0,1-0.4*(IFERROR(MATCH(Profiles!Z97,{"Low","Medium","High"},0),2)-IFERROR(MATCH('User Input'!$B$31,{"Low","Medium","High"},0),2))))</f>
        <v/>
      </c>
      <c r="Q96" s="36">
        <f>IF('User Input'!$B$32="Yes",IF(ISNUMBER(Profiles!AC97),Profiles!AC97/10,0.5),1)</f>
        <v/>
      </c>
      <c r="R96" s="36">
        <f>IF(OR(K96=0,O96=0),0,ROUND(MIN(100,100*(K96*0.1+L96*0.2+M96*0.2+N96*0.1+P96*0.15+Q96*0.25)*W96*X96*Y96*Z96),1))</f>
        <v/>
      </c>
      <c r="S96" s="36">
        <f>IF(R96=0,0,ROUND(0.5*J96+0.5*R96,1))</f>
        <v/>
      </c>
      <c r="T96" s="36">
        <f>J96-ROW()/1000000</f>
        <v/>
      </c>
      <c r="U96" s="36">
        <f>R96-ROW()/1000000</f>
        <v/>
      </c>
      <c r="V96" s="36">
        <f>S96-ROW()/1000000</f>
        <v/>
      </c>
      <c r="W96" s="36">
        <f>IF(OR(AND(OR(Profiles!D97="Team field",Profiles!D97="Team field contact",Profiles!D97="Team field stick"),'User Input'!$B$34="Yes"),AND(OR(Profiles!D97="Team court",Profiles!D97="Team court contact"),'User Input'!$B$35="Yes"),AND(Profiles!D97="Individual racquet",'User Input'!$B$36="Yes"),AND(OR(Profiles!D97="Combat striking",Profiles!D97="Combat grappling",Profiles!D97="Combat mixed"),'User Input'!$B$37="Yes"),AND(OR(Profiles!D97="Team water contact",Profiles!D97="Individual water"),'User Input'!$B$38="Yes"),AND(OR(Profiles!D97="Endurance individual",Profiles!D97="Endurance individual / pair",Profiles!D97="Endurance individual / pursuit",Profiles!D97="Endurance team / pair",Profiles!D97="Endurance multi"),'User Input'!$B$39="Yes"),AND(OR(Profiles!D97="Strength individual",Profiles!D97="Power-throw individual"),'User Input'!$B$40="Yes"),AND(OR(Profiles!D97="Individual technical",Profiles!D97="Individual aesthetic",Profiles!D97="Team precision"),'User Input'!$B$41="Yes")),1.15,1)</f>
        <v/>
      </c>
      <c r="X96" s="36">
        <f>IF('User Input'!$B$33&lt;&gt;"none",1,IF(IFERROR(VALUE(TRIM(MID(SUBSTITUTE(SUBSTITUTE(Profiles!AA97,"–","-"),"-",REPT(" ",100)),100,100)))&lt;=14,FALSE),0.7,1))</f>
        <v/>
      </c>
      <c r="Y96" s="36">
        <f>IF(OR('User Input'!$B$42="under30",'User Input'!$B$42=""),1,IF('User Input'!$B$42="30to45",IF((IFERROR(MATCH(Profiles!W97,{"None","Light","Medium","Heavy"},0)-1,0)+IFERROR(MATCH(Profiles!AB97,{"Low","Medium","High"},0)-1,0))&gt;=5,0.85,1),IF('User Input'!$B$42="46to60",IF((IFERROR(MATCH(Profiles!W97,{"None","Light","Medium","Heavy"},0)-1,0)+IFERROR(MATCH(Profiles!AB97,{"Low","Medium","High"},0)-1,0))&gt;=5,0.65,IF((IFERROR(MATCH(Profiles!W97,{"None","Light","Medium","Heavy"},0)-1,0)+IFERROR(MATCH(Profiles!AB97,{"Low","Medium","High"},0)-1,0))&gt;=4,0.8,IF((IFERROR(MATCH(Profiles!W97,{"None","Light","Medium","Heavy"},0)-1,0)+IFERROR(MATCH(Profiles!AB97,{"Low","Medium","High"},0)-1,0))&gt;=3,0.9,1))),IF((IFERROR(MATCH(Profiles!W97,{"None","Light","Medium","Heavy"},0)-1,0)+IFERROR(MATCH(Profiles!AB97,{"Low","Medium","High"},0)-1,0))&gt;=5,0.4,IF((IFERROR(MATCH(Profiles!W97,{"None","Light","Medium","Heavy"},0)-1,0)+IFERROR(MATCH(Profiles!AB97,{"Low","Medium","High"},0)-1,0))&gt;=4,0.6,IF((IFERROR(MATCH(Profiles!W97,{"None","Light","Medium","Heavy"},0)-1,0)+IFERROR(MATCH(Profiles!AB97,{"Low","Medium","High"},0)-1,0))&gt;=3,0.75,IF((IFERROR(MATCH(Profiles!W97,{"None","Light","Medium","Heavy"},0)-1,0)+IFERROR(MATCH(Profiles!AB97,{"Low","Medium","High"},0)-1,0))&gt;=2,0.85,1)))))))</f>
        <v/>
      </c>
      <c r="Z96" s="36">
        <f>IF(OR('User Input'!$B$43="none",'User Input'!$B$43=""),1,IF('User Input'!$B$43="minor",IF(IFERROR(MATCH(Profiles!W97,{"None","Light","Medium","Heavy"},0)-1,0)&gt;=3,0.7,IF(IFERROR(MATCH(Profiles!W97,{"None","Light","Medium","Heavy"},0)-1,0)&gt;=2,0.85,1)),IF('User Input'!$B$43="joint",IF(OR(IFERROR(MATCH(Profiles!W97,{"None","Light","Medium","Heavy"},0)-1,0)&gt;=3,IFERROR(MATCH(Profiles!AB97,{"Low","Medium","High"},0)-1,0)&gt;=2),0.5,IF(OR(IFERROR(MATCH(Profiles!W97,{"None","Light","Medium","Heavy"},0)-1,0)&gt;=2,IFERROR(MATCH(Profiles!AB97,{"Low","Medium","High"},0)-1,0)&gt;=1),0.75,1)),IF(OR(IFERROR(MATCH(Profiles!W97,{"None","Light","Medium","Heavy"},0)-1,0)&gt;=2,IFERROR(MATCH(Profiles!AB97,{"Low","Medium","High"},0)-1,0)&gt;=2),0.3,IF(OR(IFERROR(MATCH(Profiles!W97,{"None","Light","Medium","Heavy"},0)-1,0)&gt;=1,IFERROR(MATCH(Profiles!AB97,{"Low","Medium","High"},0)-1,0)&gt;=1),0.6,0.9)))))</f>
        <v/>
      </c>
    </row>
    <row r="97">
      <c r="A97" s="36">
        <f>Profiles!A98</f>
        <v/>
      </c>
      <c r="B97" s="36">
        <f>Profiles!B98</f>
        <v/>
      </c>
      <c r="C97" s="36">
        <f>Profiles!C98</f>
        <v/>
      </c>
      <c r="D97" s="36">
        <f>Profiles!D98</f>
        <v/>
      </c>
      <c r="E97" s="36">
        <f>IF(ISNUMBER(Profiles!E98),IF(ISNUMBER(Profiles!F98),MAX(0,1-(MAX(0,ABS('User Input'!$B$9-Profiles!E98)-Profiles!F98))/Profiles!F98/3),MAX(0,1-ABS('User Input'!$B$9-Profiles!E98)/(Profiles!E98*0.1)/3)),0.5)</f>
        <v/>
      </c>
      <c r="F97" s="36">
        <f>IF(ISNUMBER(Profiles!G98),IF(ISNUMBER(Profiles!H98),MAX(0,1-(MAX(0,ABS('User Input'!$B$10-Profiles!G98)-Profiles!H98))/Profiles!H98/3),MAX(0,1-ABS('User Input'!$B$10-Profiles!G98)/(Profiles!G98*0.15)/3)),0.5)</f>
        <v/>
      </c>
      <c r="G97" s="36">
        <f>IF(ISNUMBER(Profiles!J98),MAX(0,1-ABS('User Input'!$B$12-Profiles!J98)/5/3),0.5)</f>
        <v/>
      </c>
      <c r="H97" s="36">
        <f>IF(ISNUMBER(Profiles!K98),MAX(0,1-ABS('User Input'!$B$14-Profiles!K98)/0.03/3),"n/a")</f>
        <v/>
      </c>
      <c r="I97" s="36">
        <f>100*MAX(0,1-(MAX(0,Profiles!M98-'User Input'!$B$17)+0.5*MAX(0,'User Input'!$B$17-Profiles!M98)+MAX(0,Profiles!N98-'User Input'!$B$18)+0.5*MAX(0,'User Input'!$B$18-Profiles!N98)+MAX(0,Profiles!O98-'User Input'!$B$19)+0.5*MAX(0,'User Input'!$B$19-Profiles!O98)+MAX(0,Profiles!P98-'User Input'!$B$20)+0.5*MAX(0,'User Input'!$B$20-Profiles!P98)+MAX(0,Profiles!Q98-'User Input'!$B$21)+0.5*MAX(0,'User Input'!$B$21-Profiles!Q98)+MAX(0,Profiles!S98-'User Input'!$B$22)+0.5*MAX(0,'User Input'!$B$22-Profiles!S98)+MAX(0,Profiles!T98-'User Input'!$B$23)+0.5*MAX(0,'User Input'!$B$23-Profiles!T98)+MAX(0,Profiles!U98-'User Input'!$B$24)+0.5*MAX(0,'User Input'!$B$24-Profiles!U98))/40)</f>
        <v/>
      </c>
      <c r="J97" s="36">
        <f>ROUND(60*(E97+F97+G97+IFERROR(VALUE(H97),(E97+F97+G97)/3))/4 + 0.4*I97,1)</f>
        <v/>
      </c>
      <c r="K97" s="36">
        <f>IF(OR(AND('User Input'!$B$6="M",Profiles!$AG98="M"),AND('User Input'!$B$6="F",Profiles!$AG98="F")),1,0)</f>
        <v/>
      </c>
      <c r="L97" s="36">
        <f>IF('User Input'!$B$27="Either",(IF(Profiles!V98&gt;=4,1,0.3)+IF(OR(Profiles!V98&lt;=2,ISNUMBER(SEARCH("Individual",Profiles!D98))),1,0.3))/2,IF('User Input'!$B$27="Team",IF(Profiles!V98&gt;=4,1,0.3),IF(OR(Profiles!V98&lt;=2,ISNUMBER(SEARCH("Individual",Profiles!D98))),1,0.3)))</f>
        <v/>
      </c>
      <c r="M97" s="36">
        <f>IF(IFERROR(MATCH(Profiles!W98,{"None","Light","Medium","Heavy"},0)-1,0)&lt;=IFERROR(MATCH('User Input'!$B$28,{"None","Light","Medium","Heavy"},0)-1,3),1,MAX(0,1-0.4*(IFERROR(MATCH(Profiles!W98,{"None","Light","Medium","Heavy"},0)-1,0)-IFERROR(MATCH('User Input'!$B$28,{"None","Light","Medium","Heavy"},0)-1,3))))</f>
        <v/>
      </c>
      <c r="N97" s="36">
        <f>IF('User Input'!$B$29="neutral",1,IF('User Input'!$B$29="essential",IF(ISNUMBER(SEARCH("Outdoor",Profiles!X98)),1,0.3),IF('User Input'!$B$29="nice",IF(ISNUMBER(SEARCH("Outdoor",Profiles!X98)),1,0.65),IF('User Input'!$B$29="indoor",IF(ISNUMBER(SEARCH("Indoor",Profiles!X98)),1,0.4),1))))</f>
        <v/>
      </c>
      <c r="O97" s="36">
        <f>IF('User Input'!$B$30="Yes",1,IF(Profiles!Y98="Yes",0,1))</f>
        <v/>
      </c>
      <c r="P97" s="36">
        <f>IF(IFERROR(MATCH(Profiles!Z98,{"Low","Medium","High"},0),2)&lt;=IFERROR(MATCH('User Input'!$B$31,{"Low","Medium","High"},0),2),1,MAX(0,1-0.4*(IFERROR(MATCH(Profiles!Z98,{"Low","Medium","High"},0),2)-IFERROR(MATCH('User Input'!$B$31,{"Low","Medium","High"},0),2))))</f>
        <v/>
      </c>
      <c r="Q97" s="36">
        <f>IF('User Input'!$B$32="Yes",IF(ISNUMBER(Profiles!AC98),Profiles!AC98/10,0.5),1)</f>
        <v/>
      </c>
      <c r="R97" s="36">
        <f>IF(OR(K97=0,O97=0),0,ROUND(MIN(100,100*(K97*0.1+L97*0.2+M97*0.2+N97*0.1+P97*0.15+Q97*0.25)*W97*X97*Y97*Z97),1))</f>
        <v/>
      </c>
      <c r="S97" s="36">
        <f>IF(R97=0,0,ROUND(0.5*J97+0.5*R97,1))</f>
        <v/>
      </c>
      <c r="T97" s="36">
        <f>J97-ROW()/1000000</f>
        <v/>
      </c>
      <c r="U97" s="36">
        <f>R97-ROW()/1000000</f>
        <v/>
      </c>
      <c r="V97" s="36">
        <f>S97-ROW()/1000000</f>
        <v/>
      </c>
      <c r="W97" s="36">
        <f>IF(OR(AND(OR(Profiles!D98="Team field",Profiles!D98="Team field contact",Profiles!D98="Team field stick"),'User Input'!$B$34="Yes"),AND(OR(Profiles!D98="Team court",Profiles!D98="Team court contact"),'User Input'!$B$35="Yes"),AND(Profiles!D98="Individual racquet",'User Input'!$B$36="Yes"),AND(OR(Profiles!D98="Combat striking",Profiles!D98="Combat grappling",Profiles!D98="Combat mixed"),'User Input'!$B$37="Yes"),AND(OR(Profiles!D98="Team water contact",Profiles!D98="Individual water"),'User Input'!$B$38="Yes"),AND(OR(Profiles!D98="Endurance individual",Profiles!D98="Endurance individual / pair",Profiles!D98="Endurance individual / pursuit",Profiles!D98="Endurance team / pair",Profiles!D98="Endurance multi"),'User Input'!$B$39="Yes"),AND(OR(Profiles!D98="Strength individual",Profiles!D98="Power-throw individual"),'User Input'!$B$40="Yes"),AND(OR(Profiles!D98="Individual technical",Profiles!D98="Individual aesthetic",Profiles!D98="Team precision"),'User Input'!$B$41="Yes")),1.15,1)</f>
        <v/>
      </c>
      <c r="X97" s="36">
        <f>IF('User Input'!$B$33&lt;&gt;"none",1,IF(IFERROR(VALUE(TRIM(MID(SUBSTITUTE(SUBSTITUTE(Profiles!AA98,"–","-"),"-",REPT(" ",100)),100,100)))&lt;=14,FALSE),0.7,1))</f>
        <v/>
      </c>
      <c r="Y97" s="36">
        <f>IF(OR('User Input'!$B$42="under30",'User Input'!$B$42=""),1,IF('User Input'!$B$42="30to45",IF((IFERROR(MATCH(Profiles!W98,{"None","Light","Medium","Heavy"},0)-1,0)+IFERROR(MATCH(Profiles!AB98,{"Low","Medium","High"},0)-1,0))&gt;=5,0.85,1),IF('User Input'!$B$42="46to60",IF((IFERROR(MATCH(Profiles!W98,{"None","Light","Medium","Heavy"},0)-1,0)+IFERROR(MATCH(Profiles!AB98,{"Low","Medium","High"},0)-1,0))&gt;=5,0.65,IF((IFERROR(MATCH(Profiles!W98,{"None","Light","Medium","Heavy"},0)-1,0)+IFERROR(MATCH(Profiles!AB98,{"Low","Medium","High"},0)-1,0))&gt;=4,0.8,IF((IFERROR(MATCH(Profiles!W98,{"None","Light","Medium","Heavy"},0)-1,0)+IFERROR(MATCH(Profiles!AB98,{"Low","Medium","High"},0)-1,0))&gt;=3,0.9,1))),IF((IFERROR(MATCH(Profiles!W98,{"None","Light","Medium","Heavy"},0)-1,0)+IFERROR(MATCH(Profiles!AB98,{"Low","Medium","High"},0)-1,0))&gt;=5,0.4,IF((IFERROR(MATCH(Profiles!W98,{"None","Light","Medium","Heavy"},0)-1,0)+IFERROR(MATCH(Profiles!AB98,{"Low","Medium","High"},0)-1,0))&gt;=4,0.6,IF((IFERROR(MATCH(Profiles!W98,{"None","Light","Medium","Heavy"},0)-1,0)+IFERROR(MATCH(Profiles!AB98,{"Low","Medium","High"},0)-1,0))&gt;=3,0.75,IF((IFERROR(MATCH(Profiles!W98,{"None","Light","Medium","Heavy"},0)-1,0)+IFERROR(MATCH(Profiles!AB98,{"Low","Medium","High"},0)-1,0))&gt;=2,0.85,1)))))))</f>
        <v/>
      </c>
      <c r="Z97" s="36">
        <f>IF(OR('User Input'!$B$43="none",'User Input'!$B$43=""),1,IF('User Input'!$B$43="minor",IF(IFERROR(MATCH(Profiles!W98,{"None","Light","Medium","Heavy"},0)-1,0)&gt;=3,0.7,IF(IFERROR(MATCH(Profiles!W98,{"None","Light","Medium","Heavy"},0)-1,0)&gt;=2,0.85,1)),IF('User Input'!$B$43="joint",IF(OR(IFERROR(MATCH(Profiles!W98,{"None","Light","Medium","Heavy"},0)-1,0)&gt;=3,IFERROR(MATCH(Profiles!AB98,{"Low","Medium","High"},0)-1,0)&gt;=2),0.5,IF(OR(IFERROR(MATCH(Profiles!W98,{"None","Light","Medium","Heavy"},0)-1,0)&gt;=2,IFERROR(MATCH(Profiles!AB98,{"Low","Medium","High"},0)-1,0)&gt;=1),0.75,1)),IF(OR(IFERROR(MATCH(Profiles!W98,{"None","Light","Medium","Heavy"},0)-1,0)&gt;=2,IFERROR(MATCH(Profiles!AB98,{"Low","Medium","High"},0)-1,0)&gt;=2),0.3,IF(OR(IFERROR(MATCH(Profiles!W98,{"None","Light","Medium","Heavy"},0)-1,0)&gt;=1,IFERROR(MATCH(Profiles!AB98,{"Low","Medium","High"},0)-1,0)&gt;=1),0.6,0.9)))))</f>
        <v/>
      </c>
    </row>
    <row r="98">
      <c r="A98" s="36">
        <f>Profiles!A99</f>
        <v/>
      </c>
      <c r="B98" s="36">
        <f>Profiles!B99</f>
        <v/>
      </c>
      <c r="C98" s="36">
        <f>Profiles!C99</f>
        <v/>
      </c>
      <c r="D98" s="36">
        <f>Profiles!D99</f>
        <v/>
      </c>
      <c r="E98" s="36">
        <f>IF(ISNUMBER(Profiles!E99),IF(ISNUMBER(Profiles!F99),MAX(0,1-(MAX(0,ABS('User Input'!$B$9-Profiles!E99)-Profiles!F99))/Profiles!F99/3),MAX(0,1-ABS('User Input'!$B$9-Profiles!E99)/(Profiles!E99*0.1)/3)),0.5)</f>
        <v/>
      </c>
      <c r="F98" s="36">
        <f>IF(ISNUMBER(Profiles!G99),IF(ISNUMBER(Profiles!H99),MAX(0,1-(MAX(0,ABS('User Input'!$B$10-Profiles!G99)-Profiles!H99))/Profiles!H99/3),MAX(0,1-ABS('User Input'!$B$10-Profiles!G99)/(Profiles!G99*0.15)/3)),0.5)</f>
        <v/>
      </c>
      <c r="G98" s="36">
        <f>IF(ISNUMBER(Profiles!J99),MAX(0,1-ABS('User Input'!$B$12-Profiles!J99)/5/3),0.5)</f>
        <v/>
      </c>
      <c r="H98" s="36">
        <f>IF(ISNUMBER(Profiles!K99),MAX(0,1-ABS('User Input'!$B$14-Profiles!K99)/0.03/3),"n/a")</f>
        <v/>
      </c>
      <c r="I98" s="36">
        <f>100*MAX(0,1-(MAX(0,Profiles!M99-'User Input'!$B$17)+0.5*MAX(0,'User Input'!$B$17-Profiles!M99)+MAX(0,Profiles!N99-'User Input'!$B$18)+0.5*MAX(0,'User Input'!$B$18-Profiles!N99)+MAX(0,Profiles!O99-'User Input'!$B$19)+0.5*MAX(0,'User Input'!$B$19-Profiles!O99)+MAX(0,Profiles!P99-'User Input'!$B$20)+0.5*MAX(0,'User Input'!$B$20-Profiles!P99)+MAX(0,Profiles!Q99-'User Input'!$B$21)+0.5*MAX(0,'User Input'!$B$21-Profiles!Q99)+MAX(0,Profiles!S99-'User Input'!$B$22)+0.5*MAX(0,'User Input'!$B$22-Profiles!S99)+MAX(0,Profiles!T99-'User Input'!$B$23)+0.5*MAX(0,'User Input'!$B$23-Profiles!T99)+MAX(0,Profiles!U99-'User Input'!$B$24)+0.5*MAX(0,'User Input'!$B$24-Profiles!U99))/40)</f>
        <v/>
      </c>
      <c r="J98" s="36">
        <f>ROUND(60*(E98+F98+G98+IFERROR(VALUE(H98),(E98+F98+G98)/3))/4 + 0.4*I98,1)</f>
        <v/>
      </c>
      <c r="K98" s="36">
        <f>IF(OR(AND('User Input'!$B$6="M",Profiles!$AG99="M"),AND('User Input'!$B$6="F",Profiles!$AG99="F")),1,0)</f>
        <v/>
      </c>
      <c r="L98" s="36">
        <f>IF('User Input'!$B$27="Either",(IF(Profiles!V99&gt;=4,1,0.3)+IF(OR(Profiles!V99&lt;=2,ISNUMBER(SEARCH("Individual",Profiles!D99))),1,0.3))/2,IF('User Input'!$B$27="Team",IF(Profiles!V99&gt;=4,1,0.3),IF(OR(Profiles!V99&lt;=2,ISNUMBER(SEARCH("Individual",Profiles!D99))),1,0.3)))</f>
        <v/>
      </c>
      <c r="M98" s="36">
        <f>IF(IFERROR(MATCH(Profiles!W99,{"None","Light","Medium","Heavy"},0)-1,0)&lt;=IFERROR(MATCH('User Input'!$B$28,{"None","Light","Medium","Heavy"},0)-1,3),1,MAX(0,1-0.4*(IFERROR(MATCH(Profiles!W99,{"None","Light","Medium","Heavy"},0)-1,0)-IFERROR(MATCH('User Input'!$B$28,{"None","Light","Medium","Heavy"},0)-1,3))))</f>
        <v/>
      </c>
      <c r="N98" s="36">
        <f>IF('User Input'!$B$29="neutral",1,IF('User Input'!$B$29="essential",IF(ISNUMBER(SEARCH("Outdoor",Profiles!X99)),1,0.3),IF('User Input'!$B$29="nice",IF(ISNUMBER(SEARCH("Outdoor",Profiles!X99)),1,0.65),IF('User Input'!$B$29="indoor",IF(ISNUMBER(SEARCH("Indoor",Profiles!X99)),1,0.4),1))))</f>
        <v/>
      </c>
      <c r="O98" s="36">
        <f>IF('User Input'!$B$30="Yes",1,IF(Profiles!Y99="Yes",0,1))</f>
        <v/>
      </c>
      <c r="P98" s="36">
        <f>IF(IFERROR(MATCH(Profiles!Z99,{"Low","Medium","High"},0),2)&lt;=IFERROR(MATCH('User Input'!$B$31,{"Low","Medium","High"},0),2),1,MAX(0,1-0.4*(IFERROR(MATCH(Profiles!Z99,{"Low","Medium","High"},0),2)-IFERROR(MATCH('User Input'!$B$31,{"Low","Medium","High"},0),2))))</f>
        <v/>
      </c>
      <c r="Q98" s="36">
        <f>IF('User Input'!$B$32="Yes",IF(ISNUMBER(Profiles!AC99),Profiles!AC99/10,0.5),1)</f>
        <v/>
      </c>
      <c r="R98" s="36">
        <f>IF(OR(K98=0,O98=0),0,ROUND(MIN(100,100*(K98*0.1+L98*0.2+M98*0.2+N98*0.1+P98*0.15+Q98*0.25)*W98*X98*Y98*Z98),1))</f>
        <v/>
      </c>
      <c r="S98" s="36">
        <f>IF(R98=0,0,ROUND(0.5*J98+0.5*R98,1))</f>
        <v/>
      </c>
      <c r="T98" s="36">
        <f>J98-ROW()/1000000</f>
        <v/>
      </c>
      <c r="U98" s="36">
        <f>R98-ROW()/1000000</f>
        <v/>
      </c>
      <c r="V98" s="36">
        <f>S98-ROW()/1000000</f>
        <v/>
      </c>
      <c r="W98" s="36">
        <f>IF(OR(AND(OR(Profiles!D99="Team field",Profiles!D99="Team field contact",Profiles!D99="Team field stick"),'User Input'!$B$34="Yes"),AND(OR(Profiles!D99="Team court",Profiles!D99="Team court contact"),'User Input'!$B$35="Yes"),AND(Profiles!D99="Individual racquet",'User Input'!$B$36="Yes"),AND(OR(Profiles!D99="Combat striking",Profiles!D99="Combat grappling",Profiles!D99="Combat mixed"),'User Input'!$B$37="Yes"),AND(OR(Profiles!D99="Team water contact",Profiles!D99="Individual water"),'User Input'!$B$38="Yes"),AND(OR(Profiles!D99="Endurance individual",Profiles!D99="Endurance individual / pair",Profiles!D99="Endurance individual / pursuit",Profiles!D99="Endurance team / pair",Profiles!D99="Endurance multi"),'User Input'!$B$39="Yes"),AND(OR(Profiles!D99="Strength individual",Profiles!D99="Power-throw individual"),'User Input'!$B$40="Yes"),AND(OR(Profiles!D99="Individual technical",Profiles!D99="Individual aesthetic",Profiles!D99="Team precision"),'User Input'!$B$41="Yes")),1.15,1)</f>
        <v/>
      </c>
      <c r="X98" s="36">
        <f>IF('User Input'!$B$33&lt;&gt;"none",1,IF(IFERROR(VALUE(TRIM(MID(SUBSTITUTE(SUBSTITUTE(Profiles!AA99,"–","-"),"-",REPT(" ",100)),100,100)))&lt;=14,FALSE),0.7,1))</f>
        <v/>
      </c>
      <c r="Y98" s="36">
        <f>IF(OR('User Input'!$B$42="under30",'User Input'!$B$42=""),1,IF('User Input'!$B$42="30to45",IF((IFERROR(MATCH(Profiles!W99,{"None","Light","Medium","Heavy"},0)-1,0)+IFERROR(MATCH(Profiles!AB99,{"Low","Medium","High"},0)-1,0))&gt;=5,0.85,1),IF('User Input'!$B$42="46to60",IF((IFERROR(MATCH(Profiles!W99,{"None","Light","Medium","Heavy"},0)-1,0)+IFERROR(MATCH(Profiles!AB99,{"Low","Medium","High"},0)-1,0))&gt;=5,0.65,IF((IFERROR(MATCH(Profiles!W99,{"None","Light","Medium","Heavy"},0)-1,0)+IFERROR(MATCH(Profiles!AB99,{"Low","Medium","High"},0)-1,0))&gt;=4,0.8,IF((IFERROR(MATCH(Profiles!W99,{"None","Light","Medium","Heavy"},0)-1,0)+IFERROR(MATCH(Profiles!AB99,{"Low","Medium","High"},0)-1,0))&gt;=3,0.9,1))),IF((IFERROR(MATCH(Profiles!W99,{"None","Light","Medium","Heavy"},0)-1,0)+IFERROR(MATCH(Profiles!AB99,{"Low","Medium","High"},0)-1,0))&gt;=5,0.4,IF((IFERROR(MATCH(Profiles!W99,{"None","Light","Medium","Heavy"},0)-1,0)+IFERROR(MATCH(Profiles!AB99,{"Low","Medium","High"},0)-1,0))&gt;=4,0.6,IF((IFERROR(MATCH(Profiles!W99,{"None","Light","Medium","Heavy"},0)-1,0)+IFERROR(MATCH(Profiles!AB99,{"Low","Medium","High"},0)-1,0))&gt;=3,0.75,IF((IFERROR(MATCH(Profiles!W99,{"None","Light","Medium","Heavy"},0)-1,0)+IFERROR(MATCH(Profiles!AB99,{"Low","Medium","High"},0)-1,0))&gt;=2,0.85,1)))))))</f>
        <v/>
      </c>
      <c r="Z98" s="36">
        <f>IF(OR('User Input'!$B$43="none",'User Input'!$B$43=""),1,IF('User Input'!$B$43="minor",IF(IFERROR(MATCH(Profiles!W99,{"None","Light","Medium","Heavy"},0)-1,0)&gt;=3,0.7,IF(IFERROR(MATCH(Profiles!W99,{"None","Light","Medium","Heavy"},0)-1,0)&gt;=2,0.85,1)),IF('User Input'!$B$43="joint",IF(OR(IFERROR(MATCH(Profiles!W99,{"None","Light","Medium","Heavy"},0)-1,0)&gt;=3,IFERROR(MATCH(Profiles!AB99,{"Low","Medium","High"},0)-1,0)&gt;=2),0.5,IF(OR(IFERROR(MATCH(Profiles!W99,{"None","Light","Medium","Heavy"},0)-1,0)&gt;=2,IFERROR(MATCH(Profiles!AB99,{"Low","Medium","High"},0)-1,0)&gt;=1),0.75,1)),IF(OR(IFERROR(MATCH(Profiles!W99,{"None","Light","Medium","Heavy"},0)-1,0)&gt;=2,IFERROR(MATCH(Profiles!AB99,{"Low","Medium","High"},0)-1,0)&gt;=2),0.3,IF(OR(IFERROR(MATCH(Profiles!W99,{"None","Light","Medium","Heavy"},0)-1,0)&gt;=1,IFERROR(MATCH(Profiles!AB99,{"Low","Medium","High"},0)-1,0)&gt;=1),0.6,0.9)))))</f>
        <v/>
      </c>
    </row>
    <row r="99">
      <c r="A99" s="36">
        <f>Profiles!A100</f>
        <v/>
      </c>
      <c r="B99" s="36">
        <f>Profiles!B100</f>
        <v/>
      </c>
      <c r="C99" s="36">
        <f>Profiles!C100</f>
        <v/>
      </c>
      <c r="D99" s="36">
        <f>Profiles!D100</f>
        <v/>
      </c>
      <c r="E99" s="36">
        <f>IF(ISNUMBER(Profiles!E100),IF(ISNUMBER(Profiles!F100),MAX(0,1-(MAX(0,ABS('User Input'!$B$9-Profiles!E100)-Profiles!F100))/Profiles!F100/3),MAX(0,1-ABS('User Input'!$B$9-Profiles!E100)/(Profiles!E100*0.1)/3)),0.5)</f>
        <v/>
      </c>
      <c r="F99" s="36">
        <f>IF(ISNUMBER(Profiles!G100),IF(ISNUMBER(Profiles!H100),MAX(0,1-(MAX(0,ABS('User Input'!$B$10-Profiles!G100)-Profiles!H100))/Profiles!H100/3),MAX(0,1-ABS('User Input'!$B$10-Profiles!G100)/(Profiles!G100*0.15)/3)),0.5)</f>
        <v/>
      </c>
      <c r="G99" s="36">
        <f>IF(ISNUMBER(Profiles!J100),MAX(0,1-ABS('User Input'!$B$12-Profiles!J100)/5/3),0.5)</f>
        <v/>
      </c>
      <c r="H99" s="36">
        <f>IF(ISNUMBER(Profiles!K100),MAX(0,1-ABS('User Input'!$B$14-Profiles!K100)/0.03/3),"n/a")</f>
        <v/>
      </c>
      <c r="I99" s="36">
        <f>100*MAX(0,1-(MAX(0,Profiles!M100-'User Input'!$B$17)+0.5*MAX(0,'User Input'!$B$17-Profiles!M100)+MAX(0,Profiles!N100-'User Input'!$B$18)+0.5*MAX(0,'User Input'!$B$18-Profiles!N100)+MAX(0,Profiles!O100-'User Input'!$B$19)+0.5*MAX(0,'User Input'!$B$19-Profiles!O100)+MAX(0,Profiles!P100-'User Input'!$B$20)+0.5*MAX(0,'User Input'!$B$20-Profiles!P100)+MAX(0,Profiles!Q100-'User Input'!$B$21)+0.5*MAX(0,'User Input'!$B$21-Profiles!Q100)+MAX(0,Profiles!S100-'User Input'!$B$22)+0.5*MAX(0,'User Input'!$B$22-Profiles!S100)+MAX(0,Profiles!T100-'User Input'!$B$23)+0.5*MAX(0,'User Input'!$B$23-Profiles!T100)+MAX(0,Profiles!U100-'User Input'!$B$24)+0.5*MAX(0,'User Input'!$B$24-Profiles!U100))/40)</f>
        <v/>
      </c>
      <c r="J99" s="36">
        <f>ROUND(60*(E99+F99+G99+IFERROR(VALUE(H99),(E99+F99+G99)/3))/4 + 0.4*I99,1)</f>
        <v/>
      </c>
      <c r="K99" s="36">
        <f>IF(OR(AND('User Input'!$B$6="M",Profiles!$AG100="M"),AND('User Input'!$B$6="F",Profiles!$AG100="F")),1,0)</f>
        <v/>
      </c>
      <c r="L99" s="36">
        <f>IF('User Input'!$B$27="Either",(IF(Profiles!V100&gt;=4,1,0.3)+IF(OR(Profiles!V100&lt;=2,ISNUMBER(SEARCH("Individual",Profiles!D100))),1,0.3))/2,IF('User Input'!$B$27="Team",IF(Profiles!V100&gt;=4,1,0.3),IF(OR(Profiles!V100&lt;=2,ISNUMBER(SEARCH("Individual",Profiles!D100))),1,0.3)))</f>
        <v/>
      </c>
      <c r="M99" s="36">
        <f>IF(IFERROR(MATCH(Profiles!W100,{"None","Light","Medium","Heavy"},0)-1,0)&lt;=IFERROR(MATCH('User Input'!$B$28,{"None","Light","Medium","Heavy"},0)-1,3),1,MAX(0,1-0.4*(IFERROR(MATCH(Profiles!W100,{"None","Light","Medium","Heavy"},0)-1,0)-IFERROR(MATCH('User Input'!$B$28,{"None","Light","Medium","Heavy"},0)-1,3))))</f>
        <v/>
      </c>
      <c r="N99" s="36">
        <f>IF('User Input'!$B$29="neutral",1,IF('User Input'!$B$29="essential",IF(ISNUMBER(SEARCH("Outdoor",Profiles!X100)),1,0.3),IF('User Input'!$B$29="nice",IF(ISNUMBER(SEARCH("Outdoor",Profiles!X100)),1,0.65),IF('User Input'!$B$29="indoor",IF(ISNUMBER(SEARCH("Indoor",Profiles!X100)),1,0.4),1))))</f>
        <v/>
      </c>
      <c r="O99" s="36">
        <f>IF('User Input'!$B$30="Yes",1,IF(Profiles!Y100="Yes",0,1))</f>
        <v/>
      </c>
      <c r="P99" s="36">
        <f>IF(IFERROR(MATCH(Profiles!Z100,{"Low","Medium","High"},0),2)&lt;=IFERROR(MATCH('User Input'!$B$31,{"Low","Medium","High"},0),2),1,MAX(0,1-0.4*(IFERROR(MATCH(Profiles!Z100,{"Low","Medium","High"},0),2)-IFERROR(MATCH('User Input'!$B$31,{"Low","Medium","High"},0),2))))</f>
        <v/>
      </c>
      <c r="Q99" s="36">
        <f>IF('User Input'!$B$32="Yes",IF(ISNUMBER(Profiles!AC100),Profiles!AC100/10,0.5),1)</f>
        <v/>
      </c>
      <c r="R99" s="36">
        <f>IF(OR(K99=0,O99=0),0,ROUND(MIN(100,100*(K99*0.1+L99*0.2+M99*0.2+N99*0.1+P99*0.15+Q99*0.25)*W99*X99*Y99*Z99),1))</f>
        <v/>
      </c>
      <c r="S99" s="36">
        <f>IF(R99=0,0,ROUND(0.5*J99+0.5*R99,1))</f>
        <v/>
      </c>
      <c r="T99" s="36">
        <f>J99-ROW()/1000000</f>
        <v/>
      </c>
      <c r="U99" s="36">
        <f>R99-ROW()/1000000</f>
        <v/>
      </c>
      <c r="V99" s="36">
        <f>S99-ROW()/1000000</f>
        <v/>
      </c>
      <c r="W99" s="36">
        <f>IF(OR(AND(OR(Profiles!D100="Team field",Profiles!D100="Team field contact",Profiles!D100="Team field stick"),'User Input'!$B$34="Yes"),AND(OR(Profiles!D100="Team court",Profiles!D100="Team court contact"),'User Input'!$B$35="Yes"),AND(Profiles!D100="Individual racquet",'User Input'!$B$36="Yes"),AND(OR(Profiles!D100="Combat striking",Profiles!D100="Combat grappling",Profiles!D100="Combat mixed"),'User Input'!$B$37="Yes"),AND(OR(Profiles!D100="Team water contact",Profiles!D100="Individual water"),'User Input'!$B$38="Yes"),AND(OR(Profiles!D100="Endurance individual",Profiles!D100="Endurance individual / pair",Profiles!D100="Endurance individual / pursuit",Profiles!D100="Endurance team / pair",Profiles!D100="Endurance multi"),'User Input'!$B$39="Yes"),AND(OR(Profiles!D100="Strength individual",Profiles!D100="Power-throw individual"),'User Input'!$B$40="Yes"),AND(OR(Profiles!D100="Individual technical",Profiles!D100="Individual aesthetic",Profiles!D100="Team precision"),'User Input'!$B$41="Yes")),1.15,1)</f>
        <v/>
      </c>
      <c r="X99" s="36">
        <f>IF('User Input'!$B$33&lt;&gt;"none",1,IF(IFERROR(VALUE(TRIM(MID(SUBSTITUTE(SUBSTITUTE(Profiles!AA100,"–","-"),"-",REPT(" ",100)),100,100)))&lt;=14,FALSE),0.7,1))</f>
        <v/>
      </c>
      <c r="Y99" s="36">
        <f>IF(OR('User Input'!$B$42="under30",'User Input'!$B$42=""),1,IF('User Input'!$B$42="30to45",IF((IFERROR(MATCH(Profiles!W100,{"None","Light","Medium","Heavy"},0)-1,0)+IFERROR(MATCH(Profiles!AB100,{"Low","Medium","High"},0)-1,0))&gt;=5,0.85,1),IF('User Input'!$B$42="46to60",IF((IFERROR(MATCH(Profiles!W100,{"None","Light","Medium","Heavy"},0)-1,0)+IFERROR(MATCH(Profiles!AB100,{"Low","Medium","High"},0)-1,0))&gt;=5,0.65,IF((IFERROR(MATCH(Profiles!W100,{"None","Light","Medium","Heavy"},0)-1,0)+IFERROR(MATCH(Profiles!AB100,{"Low","Medium","High"},0)-1,0))&gt;=4,0.8,IF((IFERROR(MATCH(Profiles!W100,{"None","Light","Medium","Heavy"},0)-1,0)+IFERROR(MATCH(Profiles!AB100,{"Low","Medium","High"},0)-1,0))&gt;=3,0.9,1))),IF((IFERROR(MATCH(Profiles!W100,{"None","Light","Medium","Heavy"},0)-1,0)+IFERROR(MATCH(Profiles!AB100,{"Low","Medium","High"},0)-1,0))&gt;=5,0.4,IF((IFERROR(MATCH(Profiles!W100,{"None","Light","Medium","Heavy"},0)-1,0)+IFERROR(MATCH(Profiles!AB100,{"Low","Medium","High"},0)-1,0))&gt;=4,0.6,IF((IFERROR(MATCH(Profiles!W100,{"None","Light","Medium","Heavy"},0)-1,0)+IFERROR(MATCH(Profiles!AB100,{"Low","Medium","High"},0)-1,0))&gt;=3,0.75,IF((IFERROR(MATCH(Profiles!W100,{"None","Light","Medium","Heavy"},0)-1,0)+IFERROR(MATCH(Profiles!AB100,{"Low","Medium","High"},0)-1,0))&gt;=2,0.85,1)))))))</f>
        <v/>
      </c>
      <c r="Z99" s="36">
        <f>IF(OR('User Input'!$B$43="none",'User Input'!$B$43=""),1,IF('User Input'!$B$43="minor",IF(IFERROR(MATCH(Profiles!W100,{"None","Light","Medium","Heavy"},0)-1,0)&gt;=3,0.7,IF(IFERROR(MATCH(Profiles!W100,{"None","Light","Medium","Heavy"},0)-1,0)&gt;=2,0.85,1)),IF('User Input'!$B$43="joint",IF(OR(IFERROR(MATCH(Profiles!W100,{"None","Light","Medium","Heavy"},0)-1,0)&gt;=3,IFERROR(MATCH(Profiles!AB100,{"Low","Medium","High"},0)-1,0)&gt;=2),0.5,IF(OR(IFERROR(MATCH(Profiles!W100,{"None","Light","Medium","Heavy"},0)-1,0)&gt;=2,IFERROR(MATCH(Profiles!AB100,{"Low","Medium","High"},0)-1,0)&gt;=1),0.75,1)),IF(OR(IFERROR(MATCH(Profiles!W100,{"None","Light","Medium","Heavy"},0)-1,0)&gt;=2,IFERROR(MATCH(Profiles!AB100,{"Low","Medium","High"},0)-1,0)&gt;=2),0.3,IF(OR(IFERROR(MATCH(Profiles!W100,{"None","Light","Medium","Heavy"},0)-1,0)&gt;=1,IFERROR(MATCH(Profiles!AB100,{"Low","Medium","High"},0)-1,0)&gt;=1),0.6,0.9)))))</f>
        <v/>
      </c>
    </row>
    <row r="100">
      <c r="A100" s="36">
        <f>Profiles!A101</f>
        <v/>
      </c>
      <c r="B100" s="36">
        <f>Profiles!B101</f>
        <v/>
      </c>
      <c r="C100" s="36">
        <f>Profiles!C101</f>
        <v/>
      </c>
      <c r="D100" s="36">
        <f>Profiles!D101</f>
        <v/>
      </c>
      <c r="E100" s="36">
        <f>IF(ISNUMBER(Profiles!E101),IF(ISNUMBER(Profiles!F101),MAX(0,1-(MAX(0,ABS('User Input'!$B$9-Profiles!E101)-Profiles!F101))/Profiles!F101/3),MAX(0,1-ABS('User Input'!$B$9-Profiles!E101)/(Profiles!E101*0.1)/3)),0.5)</f>
        <v/>
      </c>
      <c r="F100" s="36">
        <f>IF(ISNUMBER(Profiles!G101),IF(ISNUMBER(Profiles!H101),MAX(0,1-(MAX(0,ABS('User Input'!$B$10-Profiles!G101)-Profiles!H101))/Profiles!H101/3),MAX(0,1-ABS('User Input'!$B$10-Profiles!G101)/(Profiles!G101*0.15)/3)),0.5)</f>
        <v/>
      </c>
      <c r="G100" s="36">
        <f>IF(ISNUMBER(Profiles!J101),MAX(0,1-ABS('User Input'!$B$12-Profiles!J101)/5/3),0.5)</f>
        <v/>
      </c>
      <c r="H100" s="36">
        <f>IF(ISNUMBER(Profiles!K101),MAX(0,1-ABS('User Input'!$B$14-Profiles!K101)/0.03/3),"n/a")</f>
        <v/>
      </c>
      <c r="I100" s="36">
        <f>100*MAX(0,1-(MAX(0,Profiles!M101-'User Input'!$B$17)+0.5*MAX(0,'User Input'!$B$17-Profiles!M101)+MAX(0,Profiles!N101-'User Input'!$B$18)+0.5*MAX(0,'User Input'!$B$18-Profiles!N101)+MAX(0,Profiles!O101-'User Input'!$B$19)+0.5*MAX(0,'User Input'!$B$19-Profiles!O101)+MAX(0,Profiles!P101-'User Input'!$B$20)+0.5*MAX(0,'User Input'!$B$20-Profiles!P101)+MAX(0,Profiles!Q101-'User Input'!$B$21)+0.5*MAX(0,'User Input'!$B$21-Profiles!Q101)+MAX(0,Profiles!S101-'User Input'!$B$22)+0.5*MAX(0,'User Input'!$B$22-Profiles!S101)+MAX(0,Profiles!T101-'User Input'!$B$23)+0.5*MAX(0,'User Input'!$B$23-Profiles!T101)+MAX(0,Profiles!U101-'User Input'!$B$24)+0.5*MAX(0,'User Input'!$B$24-Profiles!U101))/40)</f>
        <v/>
      </c>
      <c r="J100" s="36">
        <f>ROUND(60*(E100+F100+G100+IFERROR(VALUE(H100),(E100+F100+G100)/3))/4 + 0.4*I100,1)</f>
        <v/>
      </c>
      <c r="K100" s="36">
        <f>IF(OR(AND('User Input'!$B$6="M",Profiles!$AG101="M"),AND('User Input'!$B$6="F",Profiles!$AG101="F")),1,0)</f>
        <v/>
      </c>
      <c r="L100" s="36">
        <f>IF('User Input'!$B$27="Either",(IF(Profiles!V101&gt;=4,1,0.3)+IF(OR(Profiles!V101&lt;=2,ISNUMBER(SEARCH("Individual",Profiles!D101))),1,0.3))/2,IF('User Input'!$B$27="Team",IF(Profiles!V101&gt;=4,1,0.3),IF(OR(Profiles!V101&lt;=2,ISNUMBER(SEARCH("Individual",Profiles!D101))),1,0.3)))</f>
        <v/>
      </c>
      <c r="M100" s="36">
        <f>IF(IFERROR(MATCH(Profiles!W101,{"None","Light","Medium","Heavy"},0)-1,0)&lt;=IFERROR(MATCH('User Input'!$B$28,{"None","Light","Medium","Heavy"},0)-1,3),1,MAX(0,1-0.4*(IFERROR(MATCH(Profiles!W101,{"None","Light","Medium","Heavy"},0)-1,0)-IFERROR(MATCH('User Input'!$B$28,{"None","Light","Medium","Heavy"},0)-1,3))))</f>
        <v/>
      </c>
      <c r="N100" s="36">
        <f>IF('User Input'!$B$29="neutral",1,IF('User Input'!$B$29="essential",IF(ISNUMBER(SEARCH("Outdoor",Profiles!X101)),1,0.3),IF('User Input'!$B$29="nice",IF(ISNUMBER(SEARCH("Outdoor",Profiles!X101)),1,0.65),IF('User Input'!$B$29="indoor",IF(ISNUMBER(SEARCH("Indoor",Profiles!X101)),1,0.4),1))))</f>
        <v/>
      </c>
      <c r="O100" s="36">
        <f>IF('User Input'!$B$30="Yes",1,IF(Profiles!Y101="Yes",0,1))</f>
        <v/>
      </c>
      <c r="P100" s="36">
        <f>IF(IFERROR(MATCH(Profiles!Z101,{"Low","Medium","High"},0),2)&lt;=IFERROR(MATCH('User Input'!$B$31,{"Low","Medium","High"},0),2),1,MAX(0,1-0.4*(IFERROR(MATCH(Profiles!Z101,{"Low","Medium","High"},0),2)-IFERROR(MATCH('User Input'!$B$31,{"Low","Medium","High"},0),2))))</f>
        <v/>
      </c>
      <c r="Q100" s="36">
        <f>IF('User Input'!$B$32="Yes",IF(ISNUMBER(Profiles!AC101),Profiles!AC101/10,0.5),1)</f>
        <v/>
      </c>
      <c r="R100" s="36">
        <f>IF(OR(K100=0,O100=0),0,ROUND(MIN(100,100*(K100*0.1+L100*0.2+M100*0.2+N100*0.1+P100*0.15+Q100*0.25)*W100*X100*Y100*Z100),1))</f>
        <v/>
      </c>
      <c r="S100" s="36">
        <f>IF(R100=0,0,ROUND(0.5*J100+0.5*R100,1))</f>
        <v/>
      </c>
      <c r="T100" s="36">
        <f>J100-ROW()/1000000</f>
        <v/>
      </c>
      <c r="U100" s="36">
        <f>R100-ROW()/1000000</f>
        <v/>
      </c>
      <c r="V100" s="36">
        <f>S100-ROW()/1000000</f>
        <v/>
      </c>
      <c r="W100" s="36">
        <f>IF(OR(AND(OR(Profiles!D101="Team field",Profiles!D101="Team field contact",Profiles!D101="Team field stick"),'User Input'!$B$34="Yes"),AND(OR(Profiles!D101="Team court",Profiles!D101="Team court contact"),'User Input'!$B$35="Yes"),AND(Profiles!D101="Individual racquet",'User Input'!$B$36="Yes"),AND(OR(Profiles!D101="Combat striking",Profiles!D101="Combat grappling",Profiles!D101="Combat mixed"),'User Input'!$B$37="Yes"),AND(OR(Profiles!D101="Team water contact",Profiles!D101="Individual water"),'User Input'!$B$38="Yes"),AND(OR(Profiles!D101="Endurance individual",Profiles!D101="Endurance individual / pair",Profiles!D101="Endurance individual / pursuit",Profiles!D101="Endurance team / pair",Profiles!D101="Endurance multi"),'User Input'!$B$39="Yes"),AND(OR(Profiles!D101="Strength individual",Profiles!D101="Power-throw individual"),'User Input'!$B$40="Yes"),AND(OR(Profiles!D101="Individual technical",Profiles!D101="Individual aesthetic",Profiles!D101="Team precision"),'User Input'!$B$41="Yes")),1.15,1)</f>
        <v/>
      </c>
      <c r="X100" s="36">
        <f>IF('User Input'!$B$33&lt;&gt;"none",1,IF(IFERROR(VALUE(TRIM(MID(SUBSTITUTE(SUBSTITUTE(Profiles!AA101,"–","-"),"-",REPT(" ",100)),100,100)))&lt;=14,FALSE),0.7,1))</f>
        <v/>
      </c>
      <c r="Y100" s="36">
        <f>IF(OR('User Input'!$B$42="under30",'User Input'!$B$42=""),1,IF('User Input'!$B$42="30to45",IF((IFERROR(MATCH(Profiles!W101,{"None","Light","Medium","Heavy"},0)-1,0)+IFERROR(MATCH(Profiles!AB101,{"Low","Medium","High"},0)-1,0))&gt;=5,0.85,1),IF('User Input'!$B$42="46to60",IF((IFERROR(MATCH(Profiles!W101,{"None","Light","Medium","Heavy"},0)-1,0)+IFERROR(MATCH(Profiles!AB101,{"Low","Medium","High"},0)-1,0))&gt;=5,0.65,IF((IFERROR(MATCH(Profiles!W101,{"None","Light","Medium","Heavy"},0)-1,0)+IFERROR(MATCH(Profiles!AB101,{"Low","Medium","High"},0)-1,0))&gt;=4,0.8,IF((IFERROR(MATCH(Profiles!W101,{"None","Light","Medium","Heavy"},0)-1,0)+IFERROR(MATCH(Profiles!AB101,{"Low","Medium","High"},0)-1,0))&gt;=3,0.9,1))),IF((IFERROR(MATCH(Profiles!W101,{"None","Light","Medium","Heavy"},0)-1,0)+IFERROR(MATCH(Profiles!AB101,{"Low","Medium","High"},0)-1,0))&gt;=5,0.4,IF((IFERROR(MATCH(Profiles!W101,{"None","Light","Medium","Heavy"},0)-1,0)+IFERROR(MATCH(Profiles!AB101,{"Low","Medium","High"},0)-1,0))&gt;=4,0.6,IF((IFERROR(MATCH(Profiles!W101,{"None","Light","Medium","Heavy"},0)-1,0)+IFERROR(MATCH(Profiles!AB101,{"Low","Medium","High"},0)-1,0))&gt;=3,0.75,IF((IFERROR(MATCH(Profiles!W101,{"None","Light","Medium","Heavy"},0)-1,0)+IFERROR(MATCH(Profiles!AB101,{"Low","Medium","High"},0)-1,0))&gt;=2,0.85,1)))))))</f>
        <v/>
      </c>
      <c r="Z100" s="36">
        <f>IF(OR('User Input'!$B$43="none",'User Input'!$B$43=""),1,IF('User Input'!$B$43="minor",IF(IFERROR(MATCH(Profiles!W101,{"None","Light","Medium","Heavy"},0)-1,0)&gt;=3,0.7,IF(IFERROR(MATCH(Profiles!W101,{"None","Light","Medium","Heavy"},0)-1,0)&gt;=2,0.85,1)),IF('User Input'!$B$43="joint",IF(OR(IFERROR(MATCH(Profiles!W101,{"None","Light","Medium","Heavy"},0)-1,0)&gt;=3,IFERROR(MATCH(Profiles!AB101,{"Low","Medium","High"},0)-1,0)&gt;=2),0.5,IF(OR(IFERROR(MATCH(Profiles!W101,{"None","Light","Medium","Heavy"},0)-1,0)&gt;=2,IFERROR(MATCH(Profiles!AB101,{"Low","Medium","High"},0)-1,0)&gt;=1),0.75,1)),IF(OR(IFERROR(MATCH(Profiles!W101,{"None","Light","Medium","Heavy"},0)-1,0)&gt;=2,IFERROR(MATCH(Profiles!AB101,{"Low","Medium","High"},0)-1,0)&gt;=2),0.3,IF(OR(IFERROR(MATCH(Profiles!W101,{"None","Light","Medium","Heavy"},0)-1,0)&gt;=1,IFERROR(MATCH(Profiles!AB101,{"Low","Medium","High"},0)-1,0)&gt;=1),0.6,0.9)))))</f>
        <v/>
      </c>
    </row>
    <row r="101">
      <c r="A101" s="36">
        <f>Profiles!A102</f>
        <v/>
      </c>
      <c r="B101" s="36">
        <f>Profiles!B102</f>
        <v/>
      </c>
      <c r="C101" s="36">
        <f>Profiles!C102</f>
        <v/>
      </c>
      <c r="D101" s="36">
        <f>Profiles!D102</f>
        <v/>
      </c>
      <c r="E101" s="36">
        <f>IF(ISNUMBER(Profiles!E102),IF(ISNUMBER(Profiles!F102),MAX(0,1-(MAX(0,ABS('User Input'!$B$9-Profiles!E102)-Profiles!F102))/Profiles!F102/3),MAX(0,1-ABS('User Input'!$B$9-Profiles!E102)/(Profiles!E102*0.1)/3)),0.5)</f>
        <v/>
      </c>
      <c r="F101" s="36">
        <f>IF(ISNUMBER(Profiles!G102),IF(ISNUMBER(Profiles!H102),MAX(0,1-(MAX(0,ABS('User Input'!$B$10-Profiles!G102)-Profiles!H102))/Profiles!H102/3),MAX(0,1-ABS('User Input'!$B$10-Profiles!G102)/(Profiles!G102*0.15)/3)),0.5)</f>
        <v/>
      </c>
      <c r="G101" s="36">
        <f>IF(ISNUMBER(Profiles!J102),MAX(0,1-ABS('User Input'!$B$12-Profiles!J102)/5/3),0.5)</f>
        <v/>
      </c>
      <c r="H101" s="36">
        <f>IF(ISNUMBER(Profiles!K102),MAX(0,1-ABS('User Input'!$B$14-Profiles!K102)/0.03/3),"n/a")</f>
        <v/>
      </c>
      <c r="I101" s="36">
        <f>100*MAX(0,1-(MAX(0,Profiles!M102-'User Input'!$B$17)+0.5*MAX(0,'User Input'!$B$17-Profiles!M102)+MAX(0,Profiles!N102-'User Input'!$B$18)+0.5*MAX(0,'User Input'!$B$18-Profiles!N102)+MAX(0,Profiles!O102-'User Input'!$B$19)+0.5*MAX(0,'User Input'!$B$19-Profiles!O102)+MAX(0,Profiles!P102-'User Input'!$B$20)+0.5*MAX(0,'User Input'!$B$20-Profiles!P102)+MAX(0,Profiles!Q102-'User Input'!$B$21)+0.5*MAX(0,'User Input'!$B$21-Profiles!Q102)+MAX(0,Profiles!S102-'User Input'!$B$22)+0.5*MAX(0,'User Input'!$B$22-Profiles!S102)+MAX(0,Profiles!T102-'User Input'!$B$23)+0.5*MAX(0,'User Input'!$B$23-Profiles!T102)+MAX(0,Profiles!U102-'User Input'!$B$24)+0.5*MAX(0,'User Input'!$B$24-Profiles!U102))/40)</f>
        <v/>
      </c>
      <c r="J101" s="36">
        <f>ROUND(60*(E101+F101+G101+IFERROR(VALUE(H101),(E101+F101+G101)/3))/4 + 0.4*I101,1)</f>
        <v/>
      </c>
      <c r="K101" s="36">
        <f>IF(OR(AND('User Input'!$B$6="M",Profiles!$AG102="M"),AND('User Input'!$B$6="F",Profiles!$AG102="F")),1,0)</f>
        <v/>
      </c>
      <c r="L101" s="36">
        <f>IF('User Input'!$B$27="Either",(IF(Profiles!V102&gt;=4,1,0.3)+IF(OR(Profiles!V102&lt;=2,ISNUMBER(SEARCH("Individual",Profiles!D102))),1,0.3))/2,IF('User Input'!$B$27="Team",IF(Profiles!V102&gt;=4,1,0.3),IF(OR(Profiles!V102&lt;=2,ISNUMBER(SEARCH("Individual",Profiles!D102))),1,0.3)))</f>
        <v/>
      </c>
      <c r="M101" s="36">
        <f>IF(IFERROR(MATCH(Profiles!W102,{"None","Light","Medium","Heavy"},0)-1,0)&lt;=IFERROR(MATCH('User Input'!$B$28,{"None","Light","Medium","Heavy"},0)-1,3),1,MAX(0,1-0.4*(IFERROR(MATCH(Profiles!W102,{"None","Light","Medium","Heavy"},0)-1,0)-IFERROR(MATCH('User Input'!$B$28,{"None","Light","Medium","Heavy"},0)-1,3))))</f>
        <v/>
      </c>
      <c r="N101" s="36">
        <f>IF('User Input'!$B$29="neutral",1,IF('User Input'!$B$29="essential",IF(ISNUMBER(SEARCH("Outdoor",Profiles!X102)),1,0.3),IF('User Input'!$B$29="nice",IF(ISNUMBER(SEARCH("Outdoor",Profiles!X102)),1,0.65),IF('User Input'!$B$29="indoor",IF(ISNUMBER(SEARCH("Indoor",Profiles!X102)),1,0.4),1))))</f>
        <v/>
      </c>
      <c r="O101" s="36">
        <f>IF('User Input'!$B$30="Yes",1,IF(Profiles!Y102="Yes",0,1))</f>
        <v/>
      </c>
      <c r="P101" s="36">
        <f>IF(IFERROR(MATCH(Profiles!Z102,{"Low","Medium","High"},0),2)&lt;=IFERROR(MATCH('User Input'!$B$31,{"Low","Medium","High"},0),2),1,MAX(0,1-0.4*(IFERROR(MATCH(Profiles!Z102,{"Low","Medium","High"},0),2)-IFERROR(MATCH('User Input'!$B$31,{"Low","Medium","High"},0),2))))</f>
        <v/>
      </c>
      <c r="Q101" s="36">
        <f>IF('User Input'!$B$32="Yes",IF(ISNUMBER(Profiles!AC102),Profiles!AC102/10,0.5),1)</f>
        <v/>
      </c>
      <c r="R101" s="36">
        <f>IF(OR(K101=0,O101=0),0,ROUND(MIN(100,100*(K101*0.1+L101*0.2+M101*0.2+N101*0.1+P101*0.15+Q101*0.25)*W101*X101*Y101*Z101),1))</f>
        <v/>
      </c>
      <c r="S101" s="36">
        <f>IF(R101=0,0,ROUND(0.5*J101+0.5*R101,1))</f>
        <v/>
      </c>
      <c r="T101" s="36">
        <f>J101-ROW()/1000000</f>
        <v/>
      </c>
      <c r="U101" s="36">
        <f>R101-ROW()/1000000</f>
        <v/>
      </c>
      <c r="V101" s="36">
        <f>S101-ROW()/1000000</f>
        <v/>
      </c>
      <c r="W101" s="36">
        <f>IF(OR(AND(OR(Profiles!D102="Team field",Profiles!D102="Team field contact",Profiles!D102="Team field stick"),'User Input'!$B$34="Yes"),AND(OR(Profiles!D102="Team court",Profiles!D102="Team court contact"),'User Input'!$B$35="Yes"),AND(Profiles!D102="Individual racquet",'User Input'!$B$36="Yes"),AND(OR(Profiles!D102="Combat striking",Profiles!D102="Combat grappling",Profiles!D102="Combat mixed"),'User Input'!$B$37="Yes"),AND(OR(Profiles!D102="Team water contact",Profiles!D102="Individual water"),'User Input'!$B$38="Yes"),AND(OR(Profiles!D102="Endurance individual",Profiles!D102="Endurance individual / pair",Profiles!D102="Endurance individual / pursuit",Profiles!D102="Endurance team / pair",Profiles!D102="Endurance multi"),'User Input'!$B$39="Yes"),AND(OR(Profiles!D102="Strength individual",Profiles!D102="Power-throw individual"),'User Input'!$B$40="Yes"),AND(OR(Profiles!D102="Individual technical",Profiles!D102="Individual aesthetic",Profiles!D102="Team precision"),'User Input'!$B$41="Yes")),1.15,1)</f>
        <v/>
      </c>
      <c r="X101" s="36">
        <f>IF('User Input'!$B$33&lt;&gt;"none",1,IF(IFERROR(VALUE(TRIM(MID(SUBSTITUTE(SUBSTITUTE(Profiles!AA102,"–","-"),"-",REPT(" ",100)),100,100)))&lt;=14,FALSE),0.7,1))</f>
        <v/>
      </c>
      <c r="Y101" s="36">
        <f>IF(OR('User Input'!$B$42="under30",'User Input'!$B$42=""),1,IF('User Input'!$B$42="30to45",IF((IFERROR(MATCH(Profiles!W102,{"None","Light","Medium","Heavy"},0)-1,0)+IFERROR(MATCH(Profiles!AB102,{"Low","Medium","High"},0)-1,0))&gt;=5,0.85,1),IF('User Input'!$B$42="46to60",IF((IFERROR(MATCH(Profiles!W102,{"None","Light","Medium","Heavy"},0)-1,0)+IFERROR(MATCH(Profiles!AB102,{"Low","Medium","High"},0)-1,0))&gt;=5,0.65,IF((IFERROR(MATCH(Profiles!W102,{"None","Light","Medium","Heavy"},0)-1,0)+IFERROR(MATCH(Profiles!AB102,{"Low","Medium","High"},0)-1,0))&gt;=4,0.8,IF((IFERROR(MATCH(Profiles!W102,{"None","Light","Medium","Heavy"},0)-1,0)+IFERROR(MATCH(Profiles!AB102,{"Low","Medium","High"},0)-1,0))&gt;=3,0.9,1))),IF((IFERROR(MATCH(Profiles!W102,{"None","Light","Medium","Heavy"},0)-1,0)+IFERROR(MATCH(Profiles!AB102,{"Low","Medium","High"},0)-1,0))&gt;=5,0.4,IF((IFERROR(MATCH(Profiles!W102,{"None","Light","Medium","Heavy"},0)-1,0)+IFERROR(MATCH(Profiles!AB102,{"Low","Medium","High"},0)-1,0))&gt;=4,0.6,IF((IFERROR(MATCH(Profiles!W102,{"None","Light","Medium","Heavy"},0)-1,0)+IFERROR(MATCH(Profiles!AB102,{"Low","Medium","High"},0)-1,0))&gt;=3,0.75,IF((IFERROR(MATCH(Profiles!W102,{"None","Light","Medium","Heavy"},0)-1,0)+IFERROR(MATCH(Profiles!AB102,{"Low","Medium","High"},0)-1,0))&gt;=2,0.85,1)))))))</f>
        <v/>
      </c>
      <c r="Z101" s="36">
        <f>IF(OR('User Input'!$B$43="none",'User Input'!$B$43=""),1,IF('User Input'!$B$43="minor",IF(IFERROR(MATCH(Profiles!W102,{"None","Light","Medium","Heavy"},0)-1,0)&gt;=3,0.7,IF(IFERROR(MATCH(Profiles!W102,{"None","Light","Medium","Heavy"},0)-1,0)&gt;=2,0.85,1)),IF('User Input'!$B$43="joint",IF(OR(IFERROR(MATCH(Profiles!W102,{"None","Light","Medium","Heavy"},0)-1,0)&gt;=3,IFERROR(MATCH(Profiles!AB102,{"Low","Medium","High"},0)-1,0)&gt;=2),0.5,IF(OR(IFERROR(MATCH(Profiles!W102,{"None","Light","Medium","Heavy"},0)-1,0)&gt;=2,IFERROR(MATCH(Profiles!AB102,{"Low","Medium","High"},0)-1,0)&gt;=1),0.75,1)),IF(OR(IFERROR(MATCH(Profiles!W102,{"None","Light","Medium","Heavy"},0)-1,0)&gt;=2,IFERROR(MATCH(Profiles!AB102,{"Low","Medium","High"},0)-1,0)&gt;=2),0.3,IF(OR(IFERROR(MATCH(Profiles!W102,{"None","Light","Medium","Heavy"},0)-1,0)&gt;=1,IFERROR(MATCH(Profiles!AB102,{"Low","Medium","High"},0)-1,0)&gt;=1),0.6,0.9)))))</f>
        <v/>
      </c>
    </row>
    <row r="102">
      <c r="A102" s="36">
        <f>Profiles!A103</f>
        <v/>
      </c>
      <c r="B102" s="36">
        <f>Profiles!B103</f>
        <v/>
      </c>
      <c r="C102" s="36">
        <f>Profiles!C103</f>
        <v/>
      </c>
      <c r="D102" s="36">
        <f>Profiles!D103</f>
        <v/>
      </c>
      <c r="E102" s="36">
        <f>IF(ISNUMBER(Profiles!E103),IF(ISNUMBER(Profiles!F103),MAX(0,1-(MAX(0,ABS('User Input'!$B$9-Profiles!E103)-Profiles!F103))/Profiles!F103/3),MAX(0,1-ABS('User Input'!$B$9-Profiles!E103)/(Profiles!E103*0.1)/3)),0.5)</f>
        <v/>
      </c>
      <c r="F102" s="36">
        <f>IF(ISNUMBER(Profiles!G103),IF(ISNUMBER(Profiles!H103),MAX(0,1-(MAX(0,ABS('User Input'!$B$10-Profiles!G103)-Profiles!H103))/Profiles!H103/3),MAX(0,1-ABS('User Input'!$B$10-Profiles!G103)/(Profiles!G103*0.15)/3)),0.5)</f>
        <v/>
      </c>
      <c r="G102" s="36">
        <f>IF(ISNUMBER(Profiles!J103),MAX(0,1-ABS('User Input'!$B$12-Profiles!J103)/5/3),0.5)</f>
        <v/>
      </c>
      <c r="H102" s="36">
        <f>IF(ISNUMBER(Profiles!K103),MAX(0,1-ABS('User Input'!$B$14-Profiles!K103)/0.03/3),"n/a")</f>
        <v/>
      </c>
      <c r="I102" s="36">
        <f>100*MAX(0,1-(MAX(0,Profiles!M103-'User Input'!$B$17)+0.5*MAX(0,'User Input'!$B$17-Profiles!M103)+MAX(0,Profiles!N103-'User Input'!$B$18)+0.5*MAX(0,'User Input'!$B$18-Profiles!N103)+MAX(0,Profiles!O103-'User Input'!$B$19)+0.5*MAX(0,'User Input'!$B$19-Profiles!O103)+MAX(0,Profiles!P103-'User Input'!$B$20)+0.5*MAX(0,'User Input'!$B$20-Profiles!P103)+MAX(0,Profiles!Q103-'User Input'!$B$21)+0.5*MAX(0,'User Input'!$B$21-Profiles!Q103)+MAX(0,Profiles!S103-'User Input'!$B$22)+0.5*MAX(0,'User Input'!$B$22-Profiles!S103)+MAX(0,Profiles!T103-'User Input'!$B$23)+0.5*MAX(0,'User Input'!$B$23-Profiles!T103)+MAX(0,Profiles!U103-'User Input'!$B$24)+0.5*MAX(0,'User Input'!$B$24-Profiles!U103))/40)</f>
        <v/>
      </c>
      <c r="J102" s="36">
        <f>ROUND(60*(E102+F102+G102+IFERROR(VALUE(H102),(E102+F102+G102)/3))/4 + 0.4*I102,1)</f>
        <v/>
      </c>
      <c r="K102" s="36">
        <f>IF(OR(AND('User Input'!$B$6="M",Profiles!$AG103="M"),AND('User Input'!$B$6="F",Profiles!$AG103="F")),1,0)</f>
        <v/>
      </c>
      <c r="L102" s="36">
        <f>IF('User Input'!$B$27="Either",(IF(Profiles!V103&gt;=4,1,0.3)+IF(OR(Profiles!V103&lt;=2,ISNUMBER(SEARCH("Individual",Profiles!D103))),1,0.3))/2,IF('User Input'!$B$27="Team",IF(Profiles!V103&gt;=4,1,0.3),IF(OR(Profiles!V103&lt;=2,ISNUMBER(SEARCH("Individual",Profiles!D103))),1,0.3)))</f>
        <v/>
      </c>
      <c r="M102" s="36">
        <f>IF(IFERROR(MATCH(Profiles!W103,{"None","Light","Medium","Heavy"},0)-1,0)&lt;=IFERROR(MATCH('User Input'!$B$28,{"None","Light","Medium","Heavy"},0)-1,3),1,MAX(0,1-0.4*(IFERROR(MATCH(Profiles!W103,{"None","Light","Medium","Heavy"},0)-1,0)-IFERROR(MATCH('User Input'!$B$28,{"None","Light","Medium","Heavy"},0)-1,3))))</f>
        <v/>
      </c>
      <c r="N102" s="36">
        <f>IF('User Input'!$B$29="neutral",1,IF('User Input'!$B$29="essential",IF(ISNUMBER(SEARCH("Outdoor",Profiles!X103)),1,0.3),IF('User Input'!$B$29="nice",IF(ISNUMBER(SEARCH("Outdoor",Profiles!X103)),1,0.65),IF('User Input'!$B$29="indoor",IF(ISNUMBER(SEARCH("Indoor",Profiles!X103)),1,0.4),1))))</f>
        <v/>
      </c>
      <c r="O102" s="36">
        <f>IF('User Input'!$B$30="Yes",1,IF(Profiles!Y103="Yes",0,1))</f>
        <v/>
      </c>
      <c r="P102" s="36">
        <f>IF(IFERROR(MATCH(Profiles!Z103,{"Low","Medium","High"},0),2)&lt;=IFERROR(MATCH('User Input'!$B$31,{"Low","Medium","High"},0),2),1,MAX(0,1-0.4*(IFERROR(MATCH(Profiles!Z103,{"Low","Medium","High"},0),2)-IFERROR(MATCH('User Input'!$B$31,{"Low","Medium","High"},0),2))))</f>
        <v/>
      </c>
      <c r="Q102" s="36">
        <f>IF('User Input'!$B$32="Yes",IF(ISNUMBER(Profiles!AC103),Profiles!AC103/10,0.5),1)</f>
        <v/>
      </c>
      <c r="R102" s="36">
        <f>IF(OR(K102=0,O102=0),0,ROUND(MIN(100,100*(K102*0.1+L102*0.2+M102*0.2+N102*0.1+P102*0.15+Q102*0.25)*W102*X102*Y102*Z102),1))</f>
        <v/>
      </c>
      <c r="S102" s="36">
        <f>IF(R102=0,0,ROUND(0.5*J102+0.5*R102,1))</f>
        <v/>
      </c>
      <c r="T102" s="36">
        <f>J102-ROW()/1000000</f>
        <v/>
      </c>
      <c r="U102" s="36">
        <f>R102-ROW()/1000000</f>
        <v/>
      </c>
      <c r="V102" s="36">
        <f>S102-ROW()/1000000</f>
        <v/>
      </c>
      <c r="W102" s="36">
        <f>IF(OR(AND(OR(Profiles!D103="Team field",Profiles!D103="Team field contact",Profiles!D103="Team field stick"),'User Input'!$B$34="Yes"),AND(OR(Profiles!D103="Team court",Profiles!D103="Team court contact"),'User Input'!$B$35="Yes"),AND(Profiles!D103="Individual racquet",'User Input'!$B$36="Yes"),AND(OR(Profiles!D103="Combat striking",Profiles!D103="Combat grappling",Profiles!D103="Combat mixed"),'User Input'!$B$37="Yes"),AND(OR(Profiles!D103="Team water contact",Profiles!D103="Individual water"),'User Input'!$B$38="Yes"),AND(OR(Profiles!D103="Endurance individual",Profiles!D103="Endurance individual / pair",Profiles!D103="Endurance individual / pursuit",Profiles!D103="Endurance team / pair",Profiles!D103="Endurance multi"),'User Input'!$B$39="Yes"),AND(OR(Profiles!D103="Strength individual",Profiles!D103="Power-throw individual"),'User Input'!$B$40="Yes"),AND(OR(Profiles!D103="Individual technical",Profiles!D103="Individual aesthetic",Profiles!D103="Team precision"),'User Input'!$B$41="Yes")),1.15,1)</f>
        <v/>
      </c>
      <c r="X102" s="36">
        <f>IF('User Input'!$B$33&lt;&gt;"none",1,IF(IFERROR(VALUE(TRIM(MID(SUBSTITUTE(SUBSTITUTE(Profiles!AA103,"–","-"),"-",REPT(" ",100)),100,100)))&lt;=14,FALSE),0.7,1))</f>
        <v/>
      </c>
      <c r="Y102" s="36">
        <f>IF(OR('User Input'!$B$42="under30",'User Input'!$B$42=""),1,IF('User Input'!$B$42="30to45",IF((IFERROR(MATCH(Profiles!W103,{"None","Light","Medium","Heavy"},0)-1,0)+IFERROR(MATCH(Profiles!AB103,{"Low","Medium","High"},0)-1,0))&gt;=5,0.85,1),IF('User Input'!$B$42="46to60",IF((IFERROR(MATCH(Profiles!W103,{"None","Light","Medium","Heavy"},0)-1,0)+IFERROR(MATCH(Profiles!AB103,{"Low","Medium","High"},0)-1,0))&gt;=5,0.65,IF((IFERROR(MATCH(Profiles!W103,{"None","Light","Medium","Heavy"},0)-1,0)+IFERROR(MATCH(Profiles!AB103,{"Low","Medium","High"},0)-1,0))&gt;=4,0.8,IF((IFERROR(MATCH(Profiles!W103,{"None","Light","Medium","Heavy"},0)-1,0)+IFERROR(MATCH(Profiles!AB103,{"Low","Medium","High"},0)-1,0))&gt;=3,0.9,1))),IF((IFERROR(MATCH(Profiles!W103,{"None","Light","Medium","Heavy"},0)-1,0)+IFERROR(MATCH(Profiles!AB103,{"Low","Medium","High"},0)-1,0))&gt;=5,0.4,IF((IFERROR(MATCH(Profiles!W103,{"None","Light","Medium","Heavy"},0)-1,0)+IFERROR(MATCH(Profiles!AB103,{"Low","Medium","High"},0)-1,0))&gt;=4,0.6,IF((IFERROR(MATCH(Profiles!W103,{"None","Light","Medium","Heavy"},0)-1,0)+IFERROR(MATCH(Profiles!AB103,{"Low","Medium","High"},0)-1,0))&gt;=3,0.75,IF((IFERROR(MATCH(Profiles!W103,{"None","Light","Medium","Heavy"},0)-1,0)+IFERROR(MATCH(Profiles!AB103,{"Low","Medium","High"},0)-1,0))&gt;=2,0.85,1)))))))</f>
        <v/>
      </c>
      <c r="Z102" s="36">
        <f>IF(OR('User Input'!$B$43="none",'User Input'!$B$43=""),1,IF('User Input'!$B$43="minor",IF(IFERROR(MATCH(Profiles!W103,{"None","Light","Medium","Heavy"},0)-1,0)&gt;=3,0.7,IF(IFERROR(MATCH(Profiles!W103,{"None","Light","Medium","Heavy"},0)-1,0)&gt;=2,0.85,1)),IF('User Input'!$B$43="joint",IF(OR(IFERROR(MATCH(Profiles!W103,{"None","Light","Medium","Heavy"},0)-1,0)&gt;=3,IFERROR(MATCH(Profiles!AB103,{"Low","Medium","High"},0)-1,0)&gt;=2),0.5,IF(OR(IFERROR(MATCH(Profiles!W103,{"None","Light","Medium","Heavy"},0)-1,0)&gt;=2,IFERROR(MATCH(Profiles!AB103,{"Low","Medium","High"},0)-1,0)&gt;=1),0.75,1)),IF(OR(IFERROR(MATCH(Profiles!W103,{"None","Light","Medium","Heavy"},0)-1,0)&gt;=2,IFERROR(MATCH(Profiles!AB103,{"Low","Medium","High"},0)-1,0)&gt;=2),0.3,IF(OR(IFERROR(MATCH(Profiles!W103,{"None","Light","Medium","Heavy"},0)-1,0)&gt;=1,IFERROR(MATCH(Profiles!AB103,{"Low","Medium","High"},0)-1,0)&gt;=1),0.6,0.9)))))</f>
        <v/>
      </c>
    </row>
    <row r="103">
      <c r="A103" s="36" t="inlineStr">
        <is>
          <t>SP57</t>
        </is>
      </c>
      <c r="B103" s="36" t="inlineStr">
        <is>
          <t>Padel</t>
        </is>
      </c>
      <c r="C103" s="36" t="inlineStr">
        <is>
          <t>Doubles</t>
        </is>
      </c>
      <c r="D103" s="36" t="inlineStr">
        <is>
          <t>Individual racquet</t>
        </is>
      </c>
      <c r="E103" s="36">
        <f>IF(ISNUMBER(Profiles!E104),IF(ISNUMBER(Profiles!F104),MAX(0,1-(MAX(0,ABS('User Input'!$B$9-Profiles!E104)-Profiles!F104))/Profiles!F104/3),MAX(0,1-ABS('User Input'!$B$9-Profiles!E104)/(Profiles!E104*0.1)/3)),0.5)</f>
        <v/>
      </c>
      <c r="F103" s="36">
        <f>IF(ISNUMBER(Profiles!G104),IF(ISNUMBER(Profiles!H104),MAX(0,1-(MAX(0,ABS('User Input'!$B$10-Profiles!G104)-Profiles!H104))/Profiles!H104/3),MAX(0,1-ABS('User Input'!$B$10-Profiles!G104)/(Profiles!G104*0.15)/3)),0.5)</f>
        <v/>
      </c>
      <c r="G103" s="36">
        <f>IF(ISNUMBER(Profiles!J104),MAX(0,1-ABS('User Input'!$B$12-Profiles!J104)/5/3),0.5)</f>
        <v/>
      </c>
      <c r="H103" s="36">
        <f>IF(ISNUMBER(Profiles!K104),MAX(0,1-ABS('User Input'!$B$14-Profiles!K104)/0.03/3),"n/a")</f>
        <v/>
      </c>
      <c r="I103" s="36">
        <f>100*MAX(0,1-(MAX(0,Profiles!M104-'User Input'!$B$17)+0.5*MAX(0,'User Input'!$B$17-Profiles!M104)+MAX(0,Profiles!N104-'User Input'!$B$18)+0.5*MAX(0,'User Input'!$B$18-Profiles!N104)+MAX(0,Profiles!O104-'User Input'!$B$19)+0.5*MAX(0,'User Input'!$B$19-Profiles!O104)+MAX(0,Profiles!P104-'User Input'!$B$20)+0.5*MAX(0,'User Input'!$B$20-Profiles!P104)+MAX(0,Profiles!Q104-'User Input'!$B$21)+0.5*MAX(0,'User Input'!$B$21-Profiles!Q104)+MAX(0,Profiles!S104-'User Input'!$B$22)+0.5*MAX(0,'User Input'!$B$22-Profiles!S104)+MAX(0,Profiles!T104-'User Input'!$B$23)+0.5*MAX(0,'User Input'!$B$23-Profiles!T104)+MAX(0,Profiles!U104-'User Input'!$B$24)+0.5*MAX(0,'User Input'!$B$24-Profiles!U104))/40)</f>
        <v/>
      </c>
      <c r="J103" s="36">
        <f>ROUND(60*(E103+F103+G103+IFERROR(VALUE(H103),(E103+F103+G103)/3))/4 + 0.4*I103,1)</f>
        <v/>
      </c>
      <c r="K103" s="36">
        <f>IF(OR(AND('User Input'!$B$6="M",Profiles!$AG104="M"),AND('User Input'!$B$6="F",Profiles!$AG104="F")),1,0)</f>
        <v/>
      </c>
      <c r="L103" s="36">
        <f>IF('User Input'!$B$27="Either",(IF(Profiles!V104&gt;=4,1,0.3)+IF(OR(Profiles!V104&lt;=2,ISNUMBER(SEARCH("Individual",Profiles!D104))),1,0.3))/2,IF('User Input'!$B$27="Team",IF(Profiles!V104&gt;=4,1,0.3),IF(OR(Profiles!V104&lt;=2,ISNUMBER(SEARCH("Individual",Profiles!D104))),1,0.3)))</f>
        <v/>
      </c>
      <c r="M103" s="36">
        <f>IF(IFERROR(MATCH(Profiles!W104,{"None","Light","Medium","Heavy"},0)-1,0)&lt;=IFERROR(MATCH('User Input'!$B$28,{"None","Light","Medium","Heavy"},0)-1,3),1,MAX(0,1-0.4*(IFERROR(MATCH(Profiles!W104,{"None","Light","Medium","Heavy"},0)-1,0)-IFERROR(MATCH('User Input'!$B$28,{"None","Light","Medium","Heavy"},0)-1,3))))</f>
        <v/>
      </c>
      <c r="N103" s="36">
        <f>IF('User Input'!$B$29="neutral",1,IF('User Input'!$B$29="essential",IF(ISNUMBER(SEARCH("Outdoor",Profiles!X104)),1,0.3),IF('User Input'!$B$29="nice",IF(ISNUMBER(SEARCH("Outdoor",Profiles!X104)),1,0.65),IF('User Input'!$B$29="indoor",IF(ISNUMBER(SEARCH("Indoor",Profiles!X104)),1,0.4),1))))</f>
        <v/>
      </c>
      <c r="O103" s="36">
        <f>IF('User Input'!$B$30="Yes",1,IF(Profiles!Y104="Yes",0,1))</f>
        <v/>
      </c>
      <c r="P103" s="36">
        <f>IF(IFERROR(MATCH(Profiles!Z104,{"Low","Medium","High"},0),2)&lt;=IFERROR(MATCH('User Input'!$B$31,{"Low","Medium","High"},0),2),1,MAX(0,1-0.4*(IFERROR(MATCH(Profiles!Z104,{"Low","Medium","High"},0),2)-IFERROR(MATCH('User Input'!$B$31,{"Low","Medium","High"},0),2))))</f>
        <v/>
      </c>
      <c r="Q103" s="36">
        <f>IF('User Input'!$B$32="Yes",IF(ISNUMBER(Profiles!AC104),Profiles!AC104/10,0.5),1)</f>
        <v/>
      </c>
      <c r="R103" s="36">
        <f>IF(OR(K103=0,O103=0),0,ROUND(MIN(100,100*(K103*0.1+L103*0.2+M103*0.2+N103*0.1+P103*0.15+Q103*0.25)*W103*X103*Y103*Z103),1))</f>
        <v/>
      </c>
      <c r="S103" s="36">
        <f>IF(R103=0,0,ROUND(0.5*J103+0.5*R103,1))</f>
        <v/>
      </c>
      <c r="T103" s="36">
        <f>J103-ROW()/1000000</f>
        <v/>
      </c>
      <c r="U103" s="36">
        <f>R103-ROW()/1000000</f>
        <v/>
      </c>
      <c r="V103" s="36">
        <f>S103-ROW()/1000000</f>
        <v/>
      </c>
      <c r="W103" s="36">
        <f>IF(OR(AND(OR(Profiles!D104="Team field",Profiles!D104="Team field contact",Profiles!D104="Team field stick"),'User Input'!$B$34="Yes"),AND(OR(Profiles!D104="Team court",Profiles!D104="Team court contact"),'User Input'!$B$35="Yes"),AND(Profiles!D104="Individual racquet",'User Input'!$B$36="Yes"),AND(OR(Profiles!D104="Combat striking",Profiles!D104="Combat grappling",Profiles!D104="Combat mixed"),'User Input'!$B$37="Yes"),AND(OR(Profiles!D104="Team water contact",Profiles!D104="Individual water"),'User Input'!$B$38="Yes"),AND(OR(Profiles!D104="Endurance individual",Profiles!D104="Endurance individual / pair",Profiles!D104="Endurance individual / pursuit",Profiles!D104="Endurance team / pair",Profiles!D104="Endurance multi"),'User Input'!$B$39="Yes"),AND(OR(Profiles!D104="Strength individual",Profiles!D104="Power-throw individual"),'User Input'!$B$40="Yes"),AND(OR(Profiles!D104="Individual technical",Profiles!D104="Individual aesthetic",Profiles!D104="Team precision"),'User Input'!$B$41="Yes")),1.15,1)</f>
        <v/>
      </c>
      <c r="X103" s="36">
        <f>IF('User Input'!$B$33&lt;&gt;"none",1,IF(IFERROR(VALUE(TRIM(MID(SUBSTITUTE(SUBSTITUTE(Profiles!AA104,"–","-"),"-",REPT(" ",100)),100,100)))&lt;=14,FALSE),0.7,1))</f>
        <v/>
      </c>
      <c r="Y103" s="36">
        <f>IF(OR('User Input'!$B$42="under30",'User Input'!$B$42=""),1,IF('User Input'!$B$42="30to45",IF((IFERROR(MATCH(Profiles!W104,{"None","Light","Medium","Heavy"},0)-1,0)+IFERROR(MATCH(Profiles!AB104,{"Low","Medium","High"},0)-1,0))&gt;=5,0.85,1),IF('User Input'!$B$42="46to60",IF((IFERROR(MATCH(Profiles!W104,{"None","Light","Medium","Heavy"},0)-1,0)+IFERROR(MATCH(Profiles!AB104,{"Low","Medium","High"},0)-1,0))&gt;=5,0.65,IF((IFERROR(MATCH(Profiles!W104,{"None","Light","Medium","Heavy"},0)-1,0)+IFERROR(MATCH(Profiles!AB104,{"Low","Medium","High"},0)-1,0))&gt;=4,0.8,IF((IFERROR(MATCH(Profiles!W104,{"None","Light","Medium","Heavy"},0)-1,0)+IFERROR(MATCH(Profiles!AB104,{"Low","Medium","High"},0)-1,0))&gt;=3,0.9,1))),IF((IFERROR(MATCH(Profiles!W104,{"None","Light","Medium","Heavy"},0)-1,0)+IFERROR(MATCH(Profiles!AB104,{"Low","Medium","High"},0)-1,0))&gt;=5,0.4,IF((IFERROR(MATCH(Profiles!W104,{"None","Light","Medium","Heavy"},0)-1,0)+IFERROR(MATCH(Profiles!AB104,{"Low","Medium","High"},0)-1,0))&gt;=4,0.6,IF((IFERROR(MATCH(Profiles!W104,{"None","Light","Medium","Heavy"},0)-1,0)+IFERROR(MATCH(Profiles!AB104,{"Low","Medium","High"},0)-1,0))&gt;=3,0.75,IF((IFERROR(MATCH(Profiles!W104,{"None","Light","Medium","Heavy"},0)-1,0)+IFERROR(MATCH(Profiles!AB104,{"Low","Medium","High"},0)-1,0))&gt;=2,0.85,1)))))))</f>
        <v/>
      </c>
      <c r="Z103" s="36">
        <f>IF(OR('User Input'!$B$43="none",'User Input'!$B$43=""),1,IF('User Input'!$B$43="minor",IF(IFERROR(MATCH(Profiles!W104,{"None","Light","Medium","Heavy"},0)-1,0)&gt;=3,0.7,IF(IFERROR(MATCH(Profiles!W104,{"None","Light","Medium","Heavy"},0)-1,0)&gt;=2,0.85,1)),IF('User Input'!$B$43="joint",IF(OR(IFERROR(MATCH(Profiles!W104,{"None","Light","Medium","Heavy"},0)-1,0)&gt;=3,IFERROR(MATCH(Profiles!AB104,{"Low","Medium","High"},0)-1,0)&gt;=2),0.5,IF(OR(IFERROR(MATCH(Profiles!W104,{"None","Light","Medium","Heavy"},0)-1,0)&gt;=2,IFERROR(MATCH(Profiles!AB104,{"Low","Medium","High"},0)-1,0)&gt;=1),0.75,1)),IF(OR(IFERROR(MATCH(Profiles!W104,{"None","Light","Medium","Heavy"},0)-1,0)&gt;=2,IFERROR(MATCH(Profiles!AB104,{"Low","Medium","High"},0)-1,0)&gt;=2),0.3,IF(OR(IFERROR(MATCH(Profiles!W104,{"None","Light","Medium","Heavy"},0)-1,0)&gt;=1,IFERROR(MATCH(Profiles!AB104,{"Low","Medium","High"},0)-1,0)&gt;=1),0.6,0.9)))))</f>
        <v/>
      </c>
    </row>
    <row r="104">
      <c r="A104" s="36" t="inlineStr">
        <is>
          <t>SP58</t>
        </is>
      </c>
      <c r="B104" s="36" t="inlineStr">
        <is>
          <t>Volleyball</t>
        </is>
      </c>
      <c r="C104" s="36" t="inlineStr">
        <is>
          <t>Indoor (6-a-side)</t>
        </is>
      </c>
      <c r="D104" s="36" t="inlineStr">
        <is>
          <t>Team court</t>
        </is>
      </c>
      <c r="E104" s="36">
        <f>IF(ISNUMBER(Profiles!E105),IF(ISNUMBER(Profiles!F105),MAX(0,1-(MAX(0,ABS('User Input'!$B$9-Profiles!E105)-Profiles!F105))/Profiles!F105/3),MAX(0,1-ABS('User Input'!$B$9-Profiles!E105)/(Profiles!E105*0.1)/3)),0.5)</f>
        <v/>
      </c>
      <c r="F104" s="36">
        <f>IF(ISNUMBER(Profiles!G105),IF(ISNUMBER(Profiles!H105),MAX(0,1-(MAX(0,ABS('User Input'!$B$10-Profiles!G105)-Profiles!H105))/Profiles!H105/3),MAX(0,1-ABS('User Input'!$B$10-Profiles!G105)/(Profiles!G105*0.15)/3)),0.5)</f>
        <v/>
      </c>
      <c r="G104" s="36">
        <f>IF(ISNUMBER(Profiles!J105),MAX(0,1-ABS('User Input'!$B$12-Profiles!J105)/5/3),0.5)</f>
        <v/>
      </c>
      <c r="H104" s="36">
        <f>IF(ISNUMBER(Profiles!K105),MAX(0,1-ABS('User Input'!$B$14-Profiles!K105)/0.03/3),"n/a")</f>
        <v/>
      </c>
      <c r="I104" s="36">
        <f>100*MAX(0,1-(MAX(0,Profiles!M105-'User Input'!$B$17)+0.5*MAX(0,'User Input'!$B$17-Profiles!M105)+MAX(0,Profiles!N105-'User Input'!$B$18)+0.5*MAX(0,'User Input'!$B$18-Profiles!N105)+MAX(0,Profiles!O105-'User Input'!$B$19)+0.5*MAX(0,'User Input'!$B$19-Profiles!O105)+MAX(0,Profiles!P105-'User Input'!$B$20)+0.5*MAX(0,'User Input'!$B$20-Profiles!P105)+MAX(0,Profiles!Q105-'User Input'!$B$21)+0.5*MAX(0,'User Input'!$B$21-Profiles!Q105)+MAX(0,Profiles!S105-'User Input'!$B$22)+0.5*MAX(0,'User Input'!$B$22-Profiles!S105)+MAX(0,Profiles!T105-'User Input'!$B$23)+0.5*MAX(0,'User Input'!$B$23-Profiles!T105)+MAX(0,Profiles!U105-'User Input'!$B$24)+0.5*MAX(0,'User Input'!$B$24-Profiles!U105))/40)</f>
        <v/>
      </c>
      <c r="J104" s="36">
        <f>ROUND(60*(E104+F104+G104+IFERROR(VALUE(H104),(E104+F104+G104)/3))/4 + 0.4*I104,1)</f>
        <v/>
      </c>
      <c r="K104" s="36">
        <f>IF(OR(AND('User Input'!$B$6="M",Profiles!$AG105="M"),AND('User Input'!$B$6="F",Profiles!$AG105="F")),1,0)</f>
        <v/>
      </c>
      <c r="L104" s="36">
        <f>IF('User Input'!$B$27="Either",(IF(Profiles!V105&gt;=4,1,0.3)+IF(OR(Profiles!V105&lt;=2,ISNUMBER(SEARCH("Individual",Profiles!D105))),1,0.3))/2,IF('User Input'!$B$27="Team",IF(Profiles!V105&gt;=4,1,0.3),IF(OR(Profiles!V105&lt;=2,ISNUMBER(SEARCH("Individual",Profiles!D105))),1,0.3)))</f>
        <v/>
      </c>
      <c r="M104" s="36">
        <f>IF(IFERROR(MATCH(Profiles!W105,{"None","Light","Medium","Heavy"},0)-1,0)&lt;=IFERROR(MATCH('User Input'!$B$28,{"None","Light","Medium","Heavy"},0)-1,3),1,MAX(0,1-0.4*(IFERROR(MATCH(Profiles!W105,{"None","Light","Medium","Heavy"},0)-1,0)-IFERROR(MATCH('User Input'!$B$28,{"None","Light","Medium","Heavy"},0)-1,3))))</f>
        <v/>
      </c>
      <c r="N104" s="36">
        <f>IF('User Input'!$B$29="neutral",1,IF('User Input'!$B$29="essential",IF(ISNUMBER(SEARCH("Outdoor",Profiles!X105)),1,0.3),IF('User Input'!$B$29="nice",IF(ISNUMBER(SEARCH("Outdoor",Profiles!X105)),1,0.65),IF('User Input'!$B$29="indoor",IF(ISNUMBER(SEARCH("Indoor",Profiles!X105)),1,0.4),1))))</f>
        <v/>
      </c>
      <c r="O104" s="36">
        <f>IF('User Input'!$B$30="Yes",1,IF(Profiles!Y105="Yes",0,1))</f>
        <v/>
      </c>
      <c r="P104" s="36">
        <f>IF(IFERROR(MATCH(Profiles!Z105,{"Low","Medium","High"},0),2)&lt;=IFERROR(MATCH('User Input'!$B$31,{"Low","Medium","High"},0),2),1,MAX(0,1-0.4*(IFERROR(MATCH(Profiles!Z105,{"Low","Medium","High"},0),2)-IFERROR(MATCH('User Input'!$B$31,{"Low","Medium","High"},0),2))))</f>
        <v/>
      </c>
      <c r="Q104" s="36">
        <f>IF('User Input'!$B$32="Yes",IF(ISNUMBER(Profiles!AC105),Profiles!AC105/10,0.5),1)</f>
        <v/>
      </c>
      <c r="R104" s="36">
        <f>IF(OR(K104=0,O104=0),0,ROUND(MIN(100,100*(K104*0.1+L104*0.2+M104*0.2+N104*0.1+P104*0.15+Q104*0.25)*W104*X104*Y104*Z104),1))</f>
        <v/>
      </c>
      <c r="S104" s="36">
        <f>IF(R104=0,0,ROUND(0.5*J104+0.5*R104,1))</f>
        <v/>
      </c>
      <c r="T104" s="36">
        <f>J104-ROW()/1000000</f>
        <v/>
      </c>
      <c r="U104" s="36">
        <f>R104-ROW()/1000000</f>
        <v/>
      </c>
      <c r="V104" s="36">
        <f>S104-ROW()/1000000</f>
        <v/>
      </c>
      <c r="W104" s="36">
        <f>IF(OR(AND(OR(Profiles!D105="Team field",Profiles!D105="Team field contact",Profiles!D105="Team field stick"),'User Input'!$B$34="Yes"),AND(OR(Profiles!D105="Team court",Profiles!D105="Team court contact"),'User Input'!$B$35="Yes"),AND(Profiles!D105="Individual racquet",'User Input'!$B$36="Yes"),AND(OR(Profiles!D105="Combat striking",Profiles!D105="Combat grappling",Profiles!D105="Combat mixed"),'User Input'!$B$37="Yes"),AND(OR(Profiles!D105="Team water contact",Profiles!D105="Individual water"),'User Input'!$B$38="Yes"),AND(OR(Profiles!D105="Endurance individual",Profiles!D105="Endurance individual / pair",Profiles!D105="Endurance individual / pursuit",Profiles!D105="Endurance team / pair",Profiles!D105="Endurance multi"),'User Input'!$B$39="Yes"),AND(OR(Profiles!D105="Strength individual",Profiles!D105="Power-throw individual"),'User Input'!$B$40="Yes"),AND(OR(Profiles!D105="Individual technical",Profiles!D105="Individual aesthetic",Profiles!D105="Team precision"),'User Input'!$B$41="Yes")),1.15,1)</f>
        <v/>
      </c>
      <c r="X104" s="36">
        <f>IF('User Input'!$B$33&lt;&gt;"none",1,IF(IFERROR(VALUE(TRIM(MID(SUBSTITUTE(SUBSTITUTE(Profiles!AA105,"–","-"),"-",REPT(" ",100)),100,100)))&lt;=14,FALSE),0.7,1))</f>
        <v/>
      </c>
      <c r="Y104" s="36">
        <f>IF(OR('User Input'!$B$42="under30",'User Input'!$B$42=""),1,IF('User Input'!$B$42="30to45",IF((IFERROR(MATCH(Profiles!W105,{"None","Light","Medium","Heavy"},0)-1,0)+IFERROR(MATCH(Profiles!AB105,{"Low","Medium","High"},0)-1,0))&gt;=5,0.85,1),IF('User Input'!$B$42="46to60",IF((IFERROR(MATCH(Profiles!W105,{"None","Light","Medium","Heavy"},0)-1,0)+IFERROR(MATCH(Profiles!AB105,{"Low","Medium","High"},0)-1,0))&gt;=5,0.65,IF((IFERROR(MATCH(Profiles!W105,{"None","Light","Medium","Heavy"},0)-1,0)+IFERROR(MATCH(Profiles!AB105,{"Low","Medium","High"},0)-1,0))&gt;=4,0.8,IF((IFERROR(MATCH(Profiles!W105,{"None","Light","Medium","Heavy"},0)-1,0)+IFERROR(MATCH(Profiles!AB105,{"Low","Medium","High"},0)-1,0))&gt;=3,0.9,1))),IF((IFERROR(MATCH(Profiles!W105,{"None","Light","Medium","Heavy"},0)-1,0)+IFERROR(MATCH(Profiles!AB105,{"Low","Medium","High"},0)-1,0))&gt;=5,0.4,IF((IFERROR(MATCH(Profiles!W105,{"None","Light","Medium","Heavy"},0)-1,0)+IFERROR(MATCH(Profiles!AB105,{"Low","Medium","High"},0)-1,0))&gt;=4,0.6,IF((IFERROR(MATCH(Profiles!W105,{"None","Light","Medium","Heavy"},0)-1,0)+IFERROR(MATCH(Profiles!AB105,{"Low","Medium","High"},0)-1,0))&gt;=3,0.75,IF((IFERROR(MATCH(Profiles!W105,{"None","Light","Medium","Heavy"},0)-1,0)+IFERROR(MATCH(Profiles!AB105,{"Low","Medium","High"},0)-1,0))&gt;=2,0.85,1)))))))</f>
        <v/>
      </c>
      <c r="Z104" s="36">
        <f>IF(OR('User Input'!$B$43="none",'User Input'!$B$43=""),1,IF('User Input'!$B$43="minor",IF(IFERROR(MATCH(Profiles!W105,{"None","Light","Medium","Heavy"},0)-1,0)&gt;=3,0.7,IF(IFERROR(MATCH(Profiles!W105,{"None","Light","Medium","Heavy"},0)-1,0)&gt;=2,0.85,1)),IF('User Input'!$B$43="joint",IF(OR(IFERROR(MATCH(Profiles!W105,{"None","Light","Medium","Heavy"},0)-1,0)&gt;=3,IFERROR(MATCH(Profiles!AB105,{"Low","Medium","High"},0)-1,0)&gt;=2),0.5,IF(OR(IFERROR(MATCH(Profiles!W105,{"None","Light","Medium","Heavy"},0)-1,0)&gt;=2,IFERROR(MATCH(Profiles!AB105,{"Low","Medium","High"},0)-1,0)&gt;=1),0.75,1)),IF(OR(IFERROR(MATCH(Profiles!W105,{"None","Light","Medium","Heavy"},0)-1,0)&gt;=2,IFERROR(MATCH(Profiles!AB105,{"Low","Medium","High"},0)-1,0)&gt;=2),0.3,IF(OR(IFERROR(MATCH(Profiles!W105,{"None","Light","Medium","Heavy"},0)-1,0)&gt;=1,IFERROR(MATCH(Profiles!AB105,{"Low","Medium","High"},0)-1,0)&gt;=1),0.6,0.9)))))</f>
        <v/>
      </c>
    </row>
    <row r="105">
      <c r="A105" s="36" t="inlineStr">
        <is>
          <t>SP58B</t>
        </is>
      </c>
      <c r="B105" s="36" t="inlineStr">
        <is>
          <t>Volleyball (Beach)</t>
        </is>
      </c>
      <c r="C105" s="36" t="inlineStr">
        <is>
          <t>Beach (2-a-side)</t>
        </is>
      </c>
      <c r="D105" s="36" t="inlineStr">
        <is>
          <t>Team court</t>
        </is>
      </c>
      <c r="E105" s="36">
        <f>IF(ISNUMBER(Profiles!E106),IF(ISNUMBER(Profiles!F106),MAX(0,1-(MAX(0,ABS('User Input'!$B$9-Profiles!E106)-Profiles!F106))/Profiles!F106/3),MAX(0,1-ABS('User Input'!$B$9-Profiles!E106)/(Profiles!E106*0.1)/3)),0.5)</f>
        <v/>
      </c>
      <c r="F105" s="36">
        <f>IF(ISNUMBER(Profiles!G106),IF(ISNUMBER(Profiles!H106),MAX(0,1-(MAX(0,ABS('User Input'!$B$10-Profiles!G106)-Profiles!H106))/Profiles!H106/3),MAX(0,1-ABS('User Input'!$B$10-Profiles!G106)/(Profiles!G106*0.15)/3)),0.5)</f>
        <v/>
      </c>
      <c r="G105" s="36">
        <f>IF(ISNUMBER(Profiles!J106),MAX(0,1-ABS('User Input'!$B$12-Profiles!J106)/5/3),0.5)</f>
        <v/>
      </c>
      <c r="H105" s="36">
        <f>IF(ISNUMBER(Profiles!K106),MAX(0,1-ABS('User Input'!$B$14-Profiles!K106)/0.03/3),"n/a")</f>
        <v/>
      </c>
      <c r="I105" s="36">
        <f>100*MAX(0,1-(MAX(0,Profiles!M106-'User Input'!$B$17)+0.5*MAX(0,'User Input'!$B$17-Profiles!M106)+MAX(0,Profiles!N106-'User Input'!$B$18)+0.5*MAX(0,'User Input'!$B$18-Profiles!N106)+MAX(0,Profiles!O106-'User Input'!$B$19)+0.5*MAX(0,'User Input'!$B$19-Profiles!O106)+MAX(0,Profiles!P106-'User Input'!$B$20)+0.5*MAX(0,'User Input'!$B$20-Profiles!P106)+MAX(0,Profiles!Q106-'User Input'!$B$21)+0.5*MAX(0,'User Input'!$B$21-Profiles!Q106)+MAX(0,Profiles!S106-'User Input'!$B$22)+0.5*MAX(0,'User Input'!$B$22-Profiles!S106)+MAX(0,Profiles!T106-'User Input'!$B$23)+0.5*MAX(0,'User Input'!$B$23-Profiles!T106)+MAX(0,Profiles!U106-'User Input'!$B$24)+0.5*MAX(0,'User Input'!$B$24-Profiles!U106))/40)</f>
        <v/>
      </c>
      <c r="J105" s="36">
        <f>ROUND(60*(E105+F105+G105+IFERROR(VALUE(H105),(E105+F105+G105)/3))/4 + 0.4*I105,1)</f>
        <v/>
      </c>
      <c r="K105" s="36">
        <f>IF(OR(AND('User Input'!$B$6="M",Profiles!$AG106="M"),AND('User Input'!$B$6="F",Profiles!$AG106="F")),1,0)</f>
        <v/>
      </c>
      <c r="L105" s="36">
        <f>IF('User Input'!$B$27="Either",(IF(Profiles!V106&gt;=4,1,0.3)+IF(OR(Profiles!V106&lt;=2,ISNUMBER(SEARCH("Individual",Profiles!D106))),1,0.3))/2,IF('User Input'!$B$27="Team",IF(Profiles!V106&gt;=4,1,0.3),IF(OR(Profiles!V106&lt;=2,ISNUMBER(SEARCH("Individual",Profiles!D106))),1,0.3)))</f>
        <v/>
      </c>
      <c r="M105" s="36">
        <f>IF(IFERROR(MATCH(Profiles!W106,{"None","Light","Medium","Heavy"},0)-1,0)&lt;=IFERROR(MATCH('User Input'!$B$28,{"None","Light","Medium","Heavy"},0)-1,3),1,MAX(0,1-0.4*(IFERROR(MATCH(Profiles!W106,{"None","Light","Medium","Heavy"},0)-1,0)-IFERROR(MATCH('User Input'!$B$28,{"None","Light","Medium","Heavy"},0)-1,3))))</f>
        <v/>
      </c>
      <c r="N105" s="36">
        <f>IF('User Input'!$B$29="neutral",1,IF('User Input'!$B$29="essential",IF(ISNUMBER(SEARCH("Outdoor",Profiles!X106)),1,0.3),IF('User Input'!$B$29="nice",IF(ISNUMBER(SEARCH("Outdoor",Profiles!X106)),1,0.65),IF('User Input'!$B$29="indoor",IF(ISNUMBER(SEARCH("Indoor",Profiles!X106)),1,0.4),1))))</f>
        <v/>
      </c>
      <c r="O105" s="36">
        <f>IF('User Input'!$B$30="Yes",1,IF(Profiles!Y106="Yes",0,1))</f>
        <v/>
      </c>
      <c r="P105" s="36">
        <f>IF(IFERROR(MATCH(Profiles!Z106,{"Low","Medium","High"},0),2)&lt;=IFERROR(MATCH('User Input'!$B$31,{"Low","Medium","High"},0),2),1,MAX(0,1-0.4*(IFERROR(MATCH(Profiles!Z106,{"Low","Medium","High"},0),2)-IFERROR(MATCH('User Input'!$B$31,{"Low","Medium","High"},0),2))))</f>
        <v/>
      </c>
      <c r="Q105" s="36">
        <f>IF('User Input'!$B$32="Yes",IF(ISNUMBER(Profiles!AC106),Profiles!AC106/10,0.5),1)</f>
        <v/>
      </c>
      <c r="R105" s="36">
        <f>IF(OR(K105=0,O105=0),0,ROUND(MIN(100,100*(K105*0.1+L105*0.2+M105*0.2+N105*0.1+P105*0.15+Q105*0.25)*W105*X105*Y105*Z105),1))</f>
        <v/>
      </c>
      <c r="S105" s="36">
        <f>IF(R105=0,0,ROUND(0.5*J105+0.5*R105,1))</f>
        <v/>
      </c>
      <c r="T105" s="36">
        <f>J105-ROW()/1000000</f>
        <v/>
      </c>
      <c r="U105" s="36">
        <f>R105-ROW()/1000000</f>
        <v/>
      </c>
      <c r="V105" s="36">
        <f>S105-ROW()/1000000</f>
        <v/>
      </c>
      <c r="W105" s="36">
        <f>IF(OR(AND(OR(Profiles!D106="Team field",Profiles!D106="Team field contact",Profiles!D106="Team field stick"),'User Input'!$B$34="Yes"),AND(OR(Profiles!D106="Team court",Profiles!D106="Team court contact"),'User Input'!$B$35="Yes"),AND(Profiles!D106="Individual racquet",'User Input'!$B$36="Yes"),AND(OR(Profiles!D106="Combat striking",Profiles!D106="Combat grappling",Profiles!D106="Combat mixed"),'User Input'!$B$37="Yes"),AND(OR(Profiles!D106="Team water contact",Profiles!D106="Individual water"),'User Input'!$B$38="Yes"),AND(OR(Profiles!D106="Endurance individual",Profiles!D106="Endurance individual / pair",Profiles!D106="Endurance individual / pursuit",Profiles!D106="Endurance team / pair",Profiles!D106="Endurance multi"),'User Input'!$B$39="Yes"),AND(OR(Profiles!D106="Strength individual",Profiles!D106="Power-throw individual"),'User Input'!$B$40="Yes"),AND(OR(Profiles!D106="Individual technical",Profiles!D106="Individual aesthetic",Profiles!D106="Team precision"),'User Input'!$B$41="Yes")),1.15,1)</f>
        <v/>
      </c>
      <c r="X105" s="36">
        <f>IF('User Input'!$B$33&lt;&gt;"none",1,IF(IFERROR(VALUE(TRIM(MID(SUBSTITUTE(SUBSTITUTE(Profiles!AA106,"–","-"),"-",REPT(" ",100)),100,100)))&lt;=14,FALSE),0.7,1))</f>
        <v/>
      </c>
      <c r="Y105" s="36">
        <f>IF(OR('User Input'!$B$42="under30",'User Input'!$B$42=""),1,IF('User Input'!$B$42="30to45",IF((IFERROR(MATCH(Profiles!W106,{"None","Light","Medium","Heavy"},0)-1,0)+IFERROR(MATCH(Profiles!AB106,{"Low","Medium","High"},0)-1,0))&gt;=5,0.85,1),IF('User Input'!$B$42="46to60",IF((IFERROR(MATCH(Profiles!W106,{"None","Light","Medium","Heavy"},0)-1,0)+IFERROR(MATCH(Profiles!AB106,{"Low","Medium","High"},0)-1,0))&gt;=5,0.65,IF((IFERROR(MATCH(Profiles!W106,{"None","Light","Medium","Heavy"},0)-1,0)+IFERROR(MATCH(Profiles!AB106,{"Low","Medium","High"},0)-1,0))&gt;=4,0.8,IF((IFERROR(MATCH(Profiles!W106,{"None","Light","Medium","Heavy"},0)-1,0)+IFERROR(MATCH(Profiles!AB106,{"Low","Medium","High"},0)-1,0))&gt;=3,0.9,1))),IF((IFERROR(MATCH(Profiles!W106,{"None","Light","Medium","Heavy"},0)-1,0)+IFERROR(MATCH(Profiles!AB106,{"Low","Medium","High"},0)-1,0))&gt;=5,0.4,IF((IFERROR(MATCH(Profiles!W106,{"None","Light","Medium","Heavy"},0)-1,0)+IFERROR(MATCH(Profiles!AB106,{"Low","Medium","High"},0)-1,0))&gt;=4,0.6,IF((IFERROR(MATCH(Profiles!W106,{"None","Light","Medium","Heavy"},0)-1,0)+IFERROR(MATCH(Profiles!AB106,{"Low","Medium","High"},0)-1,0))&gt;=3,0.75,IF((IFERROR(MATCH(Profiles!W106,{"None","Light","Medium","Heavy"},0)-1,0)+IFERROR(MATCH(Profiles!AB106,{"Low","Medium","High"},0)-1,0))&gt;=2,0.85,1)))))))</f>
        <v/>
      </c>
      <c r="Z105" s="36">
        <f>IF(OR('User Input'!$B$43="none",'User Input'!$B$43=""),1,IF('User Input'!$B$43="minor",IF(IFERROR(MATCH(Profiles!W106,{"None","Light","Medium","Heavy"},0)-1,0)&gt;=3,0.7,IF(IFERROR(MATCH(Profiles!W106,{"None","Light","Medium","Heavy"},0)-1,0)&gt;=2,0.85,1)),IF('User Input'!$B$43="joint",IF(OR(IFERROR(MATCH(Profiles!W106,{"None","Light","Medium","Heavy"},0)-1,0)&gt;=3,IFERROR(MATCH(Profiles!AB106,{"Low","Medium","High"},0)-1,0)&gt;=2),0.5,IF(OR(IFERROR(MATCH(Profiles!W106,{"None","Light","Medium","Heavy"},0)-1,0)&gt;=2,IFERROR(MATCH(Profiles!AB106,{"Low","Medium","High"},0)-1,0)&gt;=1),0.75,1)),IF(OR(IFERROR(MATCH(Profiles!W106,{"None","Light","Medium","Heavy"},0)-1,0)&gt;=2,IFERROR(MATCH(Profiles!AB106,{"Low","Medium","High"},0)-1,0)&gt;=2),0.3,IF(OR(IFERROR(MATCH(Profiles!W106,{"None","Light","Medium","Heavy"},0)-1,0)&gt;=1,IFERROR(MATCH(Profiles!AB106,{"Low","Medium","High"},0)-1,0)&gt;=1),0.6,0.9)))))</f>
        <v/>
      </c>
    </row>
    <row r="106">
      <c r="A106" s="36" t="inlineStr">
        <is>
          <t>SP59</t>
        </is>
      </c>
      <c r="B106" s="36" t="inlineStr">
        <is>
          <t>Calisthenics</t>
        </is>
      </c>
      <c r="C106" s="36" t="inlineStr">
        <is>
          <t>Freestyle / Competition</t>
        </is>
      </c>
      <c r="D106" s="36" t="inlineStr">
        <is>
          <t>Strength individual</t>
        </is>
      </c>
      <c r="E106" s="36">
        <f>IF(ISNUMBER(Profiles!E107),IF(ISNUMBER(Profiles!F107),MAX(0,1-(MAX(0,ABS('User Input'!$B$9-Profiles!E107)-Profiles!F107))/Profiles!F107/3),MAX(0,1-ABS('User Input'!$B$9-Profiles!E107)/(Profiles!E107*0.1)/3)),0.5)</f>
        <v/>
      </c>
      <c r="F106" s="36">
        <f>IF(ISNUMBER(Profiles!G107),IF(ISNUMBER(Profiles!H107),MAX(0,1-(MAX(0,ABS('User Input'!$B$10-Profiles!G107)-Profiles!H107))/Profiles!H107/3),MAX(0,1-ABS('User Input'!$B$10-Profiles!G107)/(Profiles!G107*0.15)/3)),0.5)</f>
        <v/>
      </c>
      <c r="G106" s="36">
        <f>IF(ISNUMBER(Profiles!J107),MAX(0,1-ABS('User Input'!$B$12-Profiles!J107)/5/3),0.5)</f>
        <v/>
      </c>
      <c r="H106" s="36">
        <f>IF(ISNUMBER(Profiles!K107),MAX(0,1-ABS('User Input'!$B$14-Profiles!K107)/0.03/3),"n/a")</f>
        <v/>
      </c>
      <c r="I106" s="36">
        <f>100*MAX(0,1-(MAX(0,Profiles!M107-'User Input'!$B$17)+0.5*MAX(0,'User Input'!$B$17-Profiles!M107)+MAX(0,Profiles!N107-'User Input'!$B$18)+0.5*MAX(0,'User Input'!$B$18-Profiles!N107)+MAX(0,Profiles!O107-'User Input'!$B$19)+0.5*MAX(0,'User Input'!$B$19-Profiles!O107)+MAX(0,Profiles!P107-'User Input'!$B$20)+0.5*MAX(0,'User Input'!$B$20-Profiles!P107)+MAX(0,Profiles!Q107-'User Input'!$B$21)+0.5*MAX(0,'User Input'!$B$21-Profiles!Q107)+MAX(0,Profiles!S107-'User Input'!$B$22)+0.5*MAX(0,'User Input'!$B$22-Profiles!S107)+MAX(0,Profiles!T107-'User Input'!$B$23)+0.5*MAX(0,'User Input'!$B$23-Profiles!T107)+MAX(0,Profiles!U107-'User Input'!$B$24)+0.5*MAX(0,'User Input'!$B$24-Profiles!U107))/40)</f>
        <v/>
      </c>
      <c r="J106" s="36">
        <f>ROUND(60*(E106+F106+G106+IFERROR(VALUE(H106),(E106+F106+G106)/3))/4 + 0.4*I106,1)</f>
        <v/>
      </c>
      <c r="K106" s="36">
        <f>IF(OR(AND('User Input'!$B$6="M",Profiles!$AG107="M"),AND('User Input'!$B$6="F",Profiles!$AG107="F")),1,0)</f>
        <v/>
      </c>
      <c r="L106" s="36">
        <f>IF('User Input'!$B$27="Either",(IF(Profiles!V107&gt;=4,1,0.3)+IF(OR(Profiles!V107&lt;=2,ISNUMBER(SEARCH("Individual",Profiles!D107))),1,0.3))/2,IF('User Input'!$B$27="Team",IF(Profiles!V107&gt;=4,1,0.3),IF(OR(Profiles!V107&lt;=2,ISNUMBER(SEARCH("Individual",Profiles!D107))),1,0.3)))</f>
        <v/>
      </c>
      <c r="M106" s="36">
        <f>IF(IFERROR(MATCH(Profiles!W107,{"None","Light","Medium","Heavy"},0)-1,0)&lt;=IFERROR(MATCH('User Input'!$B$28,{"None","Light","Medium","Heavy"},0)-1,3),1,MAX(0,1-0.4*(IFERROR(MATCH(Profiles!W107,{"None","Light","Medium","Heavy"},0)-1,0)-IFERROR(MATCH('User Input'!$B$28,{"None","Light","Medium","Heavy"},0)-1,3))))</f>
        <v/>
      </c>
      <c r="N106" s="36">
        <f>IF('User Input'!$B$29="neutral",1,IF('User Input'!$B$29="essential",IF(ISNUMBER(SEARCH("Outdoor",Profiles!X107)),1,0.3),IF('User Input'!$B$29="nice",IF(ISNUMBER(SEARCH("Outdoor",Profiles!X107)),1,0.65),IF('User Input'!$B$29="indoor",IF(ISNUMBER(SEARCH("Indoor",Profiles!X107)),1,0.4),1))))</f>
        <v/>
      </c>
      <c r="O106" s="36">
        <f>IF('User Input'!$B$30="Yes",1,IF(Profiles!Y107="Yes",0,1))</f>
        <v/>
      </c>
      <c r="P106" s="36">
        <f>IF(IFERROR(MATCH(Profiles!Z107,{"Low","Medium","High"},0),2)&lt;=IFERROR(MATCH('User Input'!$B$31,{"Low","Medium","High"},0),2),1,MAX(0,1-0.4*(IFERROR(MATCH(Profiles!Z107,{"Low","Medium","High"},0),2)-IFERROR(MATCH('User Input'!$B$31,{"Low","Medium","High"},0),2))))</f>
        <v/>
      </c>
      <c r="Q106" s="36">
        <f>IF('User Input'!$B$32="Yes",IF(ISNUMBER(Profiles!AC107),Profiles!AC107/10,0.5),1)</f>
        <v/>
      </c>
      <c r="R106" s="36">
        <f>IF(OR(K106=0,O106=0),0,ROUND(MIN(100,100*(K106*0.1+L106*0.2+M106*0.2+N106*0.1+P106*0.15+Q106*0.25)*W106*X106*Y106*Z106),1))</f>
        <v/>
      </c>
      <c r="S106" s="36">
        <f>IF(R106=0,0,ROUND(0.5*J106+0.5*R106,1))</f>
        <v/>
      </c>
      <c r="T106" s="36">
        <f>J106-ROW()/1000000</f>
        <v/>
      </c>
      <c r="U106" s="36">
        <f>R106-ROW()/1000000</f>
        <v/>
      </c>
      <c r="V106" s="36">
        <f>S106-ROW()/1000000</f>
        <v/>
      </c>
      <c r="W106" s="36">
        <f>IF(OR(AND(OR(Profiles!D107="Team field",Profiles!D107="Team field contact",Profiles!D107="Team field stick"),'User Input'!$B$34="Yes"),AND(OR(Profiles!D107="Team court",Profiles!D107="Team court contact"),'User Input'!$B$35="Yes"),AND(Profiles!D107="Individual racquet",'User Input'!$B$36="Yes"),AND(OR(Profiles!D107="Combat striking",Profiles!D107="Combat grappling",Profiles!D107="Combat mixed"),'User Input'!$B$37="Yes"),AND(OR(Profiles!D107="Team water contact",Profiles!D107="Individual water"),'User Input'!$B$38="Yes"),AND(OR(Profiles!D107="Endurance individual",Profiles!D107="Endurance individual / pair",Profiles!D107="Endurance individual / pursuit",Profiles!D107="Endurance team / pair",Profiles!D107="Endurance multi"),'User Input'!$B$39="Yes"),AND(OR(Profiles!D107="Strength individual",Profiles!D107="Power-throw individual"),'User Input'!$B$40="Yes"),AND(OR(Profiles!D107="Individual technical",Profiles!D107="Individual aesthetic",Profiles!D107="Team precision"),'User Input'!$B$41="Yes")),1.15,1)</f>
        <v/>
      </c>
      <c r="X106" s="36">
        <f>IF('User Input'!$B$33&lt;&gt;"none",1,IF(IFERROR(VALUE(TRIM(MID(SUBSTITUTE(SUBSTITUTE(Profiles!AA107,"–","-"),"-",REPT(" ",100)),100,100)))&lt;=14,FALSE),0.7,1))</f>
        <v/>
      </c>
      <c r="Y106" s="36">
        <f>IF(OR('User Input'!$B$42="under30",'User Input'!$B$42=""),1,IF('User Input'!$B$42="30to45",IF((IFERROR(MATCH(Profiles!W107,{"None","Light","Medium","Heavy"},0)-1,0)+IFERROR(MATCH(Profiles!AB107,{"Low","Medium","High"},0)-1,0))&gt;=5,0.85,1),IF('User Input'!$B$42="46to60",IF((IFERROR(MATCH(Profiles!W107,{"None","Light","Medium","Heavy"},0)-1,0)+IFERROR(MATCH(Profiles!AB107,{"Low","Medium","High"},0)-1,0))&gt;=5,0.65,IF((IFERROR(MATCH(Profiles!W107,{"None","Light","Medium","Heavy"},0)-1,0)+IFERROR(MATCH(Profiles!AB107,{"Low","Medium","High"},0)-1,0))&gt;=4,0.8,IF((IFERROR(MATCH(Profiles!W107,{"None","Light","Medium","Heavy"},0)-1,0)+IFERROR(MATCH(Profiles!AB107,{"Low","Medium","High"},0)-1,0))&gt;=3,0.9,1))),IF((IFERROR(MATCH(Profiles!W107,{"None","Light","Medium","Heavy"},0)-1,0)+IFERROR(MATCH(Profiles!AB107,{"Low","Medium","High"},0)-1,0))&gt;=5,0.4,IF((IFERROR(MATCH(Profiles!W107,{"None","Light","Medium","Heavy"},0)-1,0)+IFERROR(MATCH(Profiles!AB107,{"Low","Medium","High"},0)-1,0))&gt;=4,0.6,IF((IFERROR(MATCH(Profiles!W107,{"None","Light","Medium","Heavy"},0)-1,0)+IFERROR(MATCH(Profiles!AB107,{"Low","Medium","High"},0)-1,0))&gt;=3,0.75,IF((IFERROR(MATCH(Profiles!W107,{"None","Light","Medium","Heavy"},0)-1,0)+IFERROR(MATCH(Profiles!AB107,{"Low","Medium","High"},0)-1,0))&gt;=2,0.85,1)))))))</f>
        <v/>
      </c>
      <c r="Z106" s="36">
        <f>IF(OR('User Input'!$B$43="none",'User Input'!$B$43=""),1,IF('User Input'!$B$43="minor",IF(IFERROR(MATCH(Profiles!W107,{"None","Light","Medium","Heavy"},0)-1,0)&gt;=3,0.7,IF(IFERROR(MATCH(Profiles!W107,{"None","Light","Medium","Heavy"},0)-1,0)&gt;=2,0.85,1)),IF('User Input'!$B$43="joint",IF(OR(IFERROR(MATCH(Profiles!W107,{"None","Light","Medium","Heavy"},0)-1,0)&gt;=3,IFERROR(MATCH(Profiles!AB107,{"Low","Medium","High"},0)-1,0)&gt;=2),0.5,IF(OR(IFERROR(MATCH(Profiles!W107,{"None","Light","Medium","Heavy"},0)-1,0)&gt;=2,IFERROR(MATCH(Profiles!AB107,{"Low","Medium","High"},0)-1,0)&gt;=1),0.75,1)),IF(OR(IFERROR(MATCH(Profiles!W107,{"None","Light","Medium","Heavy"},0)-1,0)&gt;=2,IFERROR(MATCH(Profiles!AB107,{"Low","Medium","High"},0)-1,0)&gt;=2),0.3,IF(OR(IFERROR(MATCH(Profiles!W107,{"None","Light","Medium","Heavy"},0)-1,0)&gt;=1,IFERROR(MATCH(Profiles!AB107,{"Low","Medium","High"},0)-1,0)&gt;=1),0.6,0.9)))))</f>
        <v/>
      </c>
    </row>
    <row r="107">
      <c r="A107" s="36" t="inlineStr">
        <is>
          <t>SP60</t>
        </is>
      </c>
      <c r="B107" s="36" t="inlineStr">
        <is>
          <t>Mountain Biking</t>
        </is>
      </c>
      <c r="C107" s="36" t="inlineStr">
        <is>
          <t>XC / Trail</t>
        </is>
      </c>
      <c r="D107" s="36" t="inlineStr">
        <is>
          <t>Endurance individual</t>
        </is>
      </c>
      <c r="E107" s="36">
        <f>IF(ISNUMBER(Profiles!E108),IF(ISNUMBER(Profiles!F108),MAX(0,1-(MAX(0,ABS('User Input'!$B$9-Profiles!E108)-Profiles!F108))/Profiles!F108/3),MAX(0,1-ABS('User Input'!$B$9-Profiles!E108)/(Profiles!E108*0.1)/3)),0.5)</f>
        <v/>
      </c>
      <c r="F107" s="36">
        <f>IF(ISNUMBER(Profiles!G108),IF(ISNUMBER(Profiles!H108),MAX(0,1-(MAX(0,ABS('User Input'!$B$10-Profiles!G108)-Profiles!H108))/Profiles!H108/3),MAX(0,1-ABS('User Input'!$B$10-Profiles!G108)/(Profiles!G108*0.15)/3)),0.5)</f>
        <v/>
      </c>
      <c r="G107" s="36">
        <f>IF(ISNUMBER(Profiles!J108),MAX(0,1-ABS('User Input'!$B$12-Profiles!J108)/5/3),0.5)</f>
        <v/>
      </c>
      <c r="H107" s="36">
        <f>IF(ISNUMBER(Profiles!K108),MAX(0,1-ABS('User Input'!$B$14-Profiles!K108)/0.03/3),"n/a")</f>
        <v/>
      </c>
      <c r="I107" s="36">
        <f>100*MAX(0,1-(MAX(0,Profiles!M108-'User Input'!$B$17)+0.5*MAX(0,'User Input'!$B$17-Profiles!M108)+MAX(0,Profiles!N108-'User Input'!$B$18)+0.5*MAX(0,'User Input'!$B$18-Profiles!N108)+MAX(0,Profiles!O108-'User Input'!$B$19)+0.5*MAX(0,'User Input'!$B$19-Profiles!O108)+MAX(0,Profiles!P108-'User Input'!$B$20)+0.5*MAX(0,'User Input'!$B$20-Profiles!P108)+MAX(0,Profiles!Q108-'User Input'!$B$21)+0.5*MAX(0,'User Input'!$B$21-Profiles!Q108)+MAX(0,Profiles!S108-'User Input'!$B$22)+0.5*MAX(0,'User Input'!$B$22-Profiles!S108)+MAX(0,Profiles!T108-'User Input'!$B$23)+0.5*MAX(0,'User Input'!$B$23-Profiles!T108)+MAX(0,Profiles!U108-'User Input'!$B$24)+0.5*MAX(0,'User Input'!$B$24-Profiles!U108))/40)</f>
        <v/>
      </c>
      <c r="J107" s="36">
        <f>ROUND(60*(E107+F107+G107+IFERROR(VALUE(H107),(E107+F107+G107)/3))/4 + 0.4*I107,1)</f>
        <v/>
      </c>
      <c r="K107" s="36">
        <f>IF(OR(AND('User Input'!$B$6="M",Profiles!$AG108="M"),AND('User Input'!$B$6="F",Profiles!$AG108="F")),1,0)</f>
        <v/>
      </c>
      <c r="L107" s="36">
        <f>IF('User Input'!$B$27="Either",(IF(Profiles!V108&gt;=4,1,0.3)+IF(OR(Profiles!V108&lt;=2,ISNUMBER(SEARCH("Individual",Profiles!D108))),1,0.3))/2,IF('User Input'!$B$27="Team",IF(Profiles!V108&gt;=4,1,0.3),IF(OR(Profiles!V108&lt;=2,ISNUMBER(SEARCH("Individual",Profiles!D108))),1,0.3)))</f>
        <v/>
      </c>
      <c r="M107" s="36">
        <f>IF(IFERROR(MATCH(Profiles!W108,{"None","Light","Medium","Heavy"},0)-1,0)&lt;=IFERROR(MATCH('User Input'!$B$28,{"None","Light","Medium","Heavy"},0)-1,3),1,MAX(0,1-0.4*(IFERROR(MATCH(Profiles!W108,{"None","Light","Medium","Heavy"},0)-1,0)-IFERROR(MATCH('User Input'!$B$28,{"None","Light","Medium","Heavy"},0)-1,3))))</f>
        <v/>
      </c>
      <c r="N107" s="36">
        <f>IF('User Input'!$B$29="neutral",1,IF('User Input'!$B$29="essential",IF(ISNUMBER(SEARCH("Outdoor",Profiles!X108)),1,0.3),IF('User Input'!$B$29="nice",IF(ISNUMBER(SEARCH("Outdoor",Profiles!X108)),1,0.65),IF('User Input'!$B$29="indoor",IF(ISNUMBER(SEARCH("Indoor",Profiles!X108)),1,0.4),1))))</f>
        <v/>
      </c>
      <c r="O107" s="36">
        <f>IF('User Input'!$B$30="Yes",1,IF(Profiles!Y108="Yes",0,1))</f>
        <v/>
      </c>
      <c r="P107" s="36">
        <f>IF(IFERROR(MATCH(Profiles!Z108,{"Low","Medium","High"},0),2)&lt;=IFERROR(MATCH('User Input'!$B$31,{"Low","Medium","High"},0),2),1,MAX(0,1-0.4*(IFERROR(MATCH(Profiles!Z108,{"Low","Medium","High"},0),2)-IFERROR(MATCH('User Input'!$B$31,{"Low","Medium","High"},0),2))))</f>
        <v/>
      </c>
      <c r="Q107" s="36">
        <f>IF('User Input'!$B$32="Yes",IF(ISNUMBER(Profiles!AC108),Profiles!AC108/10,0.5),1)</f>
        <v/>
      </c>
      <c r="R107" s="36">
        <f>IF(OR(K107=0,O107=0),0,ROUND(MIN(100,100*(K107*0.1+L107*0.2+M107*0.2+N107*0.1+P107*0.15+Q107*0.25)*W107*X107*Y107*Z107),1))</f>
        <v/>
      </c>
      <c r="S107" s="36">
        <f>IF(R107=0,0,ROUND(0.5*J107+0.5*R107,1))</f>
        <v/>
      </c>
      <c r="T107" s="36">
        <f>J107-ROW()/1000000</f>
        <v/>
      </c>
      <c r="U107" s="36">
        <f>R107-ROW()/1000000</f>
        <v/>
      </c>
      <c r="V107" s="36">
        <f>S107-ROW()/1000000</f>
        <v/>
      </c>
      <c r="W107" s="36">
        <f>IF(OR(AND(OR(Profiles!D108="Team field",Profiles!D108="Team field contact",Profiles!D108="Team field stick"),'User Input'!$B$34="Yes"),AND(OR(Profiles!D108="Team court",Profiles!D108="Team court contact"),'User Input'!$B$35="Yes"),AND(Profiles!D108="Individual racquet",'User Input'!$B$36="Yes"),AND(OR(Profiles!D108="Combat striking",Profiles!D108="Combat grappling",Profiles!D108="Combat mixed"),'User Input'!$B$37="Yes"),AND(OR(Profiles!D108="Team water contact",Profiles!D108="Individual water"),'User Input'!$B$38="Yes"),AND(OR(Profiles!D108="Endurance individual",Profiles!D108="Endurance individual / pair",Profiles!D108="Endurance individual / pursuit",Profiles!D108="Endurance team / pair",Profiles!D108="Endurance multi"),'User Input'!$B$39="Yes"),AND(OR(Profiles!D108="Strength individual",Profiles!D108="Power-throw individual"),'User Input'!$B$40="Yes"),AND(OR(Profiles!D108="Individual technical",Profiles!D108="Individual aesthetic",Profiles!D108="Team precision"),'User Input'!$B$41="Yes")),1.15,1)</f>
        <v/>
      </c>
      <c r="X107" s="36">
        <f>IF('User Input'!$B$33&lt;&gt;"none",1,IF(IFERROR(VALUE(TRIM(MID(SUBSTITUTE(SUBSTITUTE(Profiles!AA108,"–","-"),"-",REPT(" ",100)),100,100)))&lt;=14,FALSE),0.7,1))</f>
        <v/>
      </c>
      <c r="Y107" s="36">
        <f>IF(OR('User Input'!$B$42="under30",'User Input'!$B$42=""),1,IF('User Input'!$B$42="30to45",IF((IFERROR(MATCH(Profiles!W108,{"None","Light","Medium","Heavy"},0)-1,0)+IFERROR(MATCH(Profiles!AB108,{"Low","Medium","High"},0)-1,0))&gt;=5,0.85,1),IF('User Input'!$B$42="46to60",IF((IFERROR(MATCH(Profiles!W108,{"None","Light","Medium","Heavy"},0)-1,0)+IFERROR(MATCH(Profiles!AB108,{"Low","Medium","High"},0)-1,0))&gt;=5,0.65,IF((IFERROR(MATCH(Profiles!W108,{"None","Light","Medium","Heavy"},0)-1,0)+IFERROR(MATCH(Profiles!AB108,{"Low","Medium","High"},0)-1,0))&gt;=4,0.8,IF((IFERROR(MATCH(Profiles!W108,{"None","Light","Medium","Heavy"},0)-1,0)+IFERROR(MATCH(Profiles!AB108,{"Low","Medium","High"},0)-1,0))&gt;=3,0.9,1))),IF((IFERROR(MATCH(Profiles!W108,{"None","Light","Medium","Heavy"},0)-1,0)+IFERROR(MATCH(Profiles!AB108,{"Low","Medium","High"},0)-1,0))&gt;=5,0.4,IF((IFERROR(MATCH(Profiles!W108,{"None","Light","Medium","Heavy"},0)-1,0)+IFERROR(MATCH(Profiles!AB108,{"Low","Medium","High"},0)-1,0))&gt;=4,0.6,IF((IFERROR(MATCH(Profiles!W108,{"None","Light","Medium","Heavy"},0)-1,0)+IFERROR(MATCH(Profiles!AB108,{"Low","Medium","High"},0)-1,0))&gt;=3,0.75,IF((IFERROR(MATCH(Profiles!W108,{"None","Light","Medium","Heavy"},0)-1,0)+IFERROR(MATCH(Profiles!AB108,{"Low","Medium","High"},0)-1,0))&gt;=2,0.85,1)))))))</f>
        <v/>
      </c>
      <c r="Z107" s="36">
        <f>IF(OR('User Input'!$B$43="none",'User Input'!$B$43=""),1,IF('User Input'!$B$43="minor",IF(IFERROR(MATCH(Profiles!W108,{"None","Light","Medium","Heavy"},0)-1,0)&gt;=3,0.7,IF(IFERROR(MATCH(Profiles!W108,{"None","Light","Medium","Heavy"},0)-1,0)&gt;=2,0.85,1)),IF('User Input'!$B$43="joint",IF(OR(IFERROR(MATCH(Profiles!W108,{"None","Light","Medium","Heavy"},0)-1,0)&gt;=3,IFERROR(MATCH(Profiles!AB108,{"Low","Medium","High"},0)-1,0)&gt;=2),0.5,IF(OR(IFERROR(MATCH(Profiles!W108,{"None","Light","Medium","Heavy"},0)-1,0)&gt;=2,IFERROR(MATCH(Profiles!AB108,{"Low","Medium","High"},0)-1,0)&gt;=1),0.75,1)),IF(OR(IFERROR(MATCH(Profiles!W108,{"None","Light","Medium","Heavy"},0)-1,0)&gt;=2,IFERROR(MATCH(Profiles!AB108,{"Low","Medium","High"},0)-1,0)&gt;=2),0.3,IF(OR(IFERROR(MATCH(Profiles!W108,{"None","Light","Medium","Heavy"},0)-1,0)&gt;=1,IFERROR(MATCH(Profiles!AB108,{"Low","Medium","High"},0)-1,0)&gt;=1),0.6,0.9)))))</f>
        <v/>
      </c>
    </row>
    <row r="108">
      <c r="A108" s="36" t="inlineStr">
        <is>
          <t>SP61</t>
        </is>
      </c>
      <c r="B108" s="36" t="inlineStr">
        <is>
          <t>Parkour / Freerunning</t>
        </is>
      </c>
      <c r="C108" s="36" t="inlineStr">
        <is>
          <t>Freestyle</t>
        </is>
      </c>
      <c r="D108" s="36" t="inlineStr">
        <is>
          <t>Power-skill individual</t>
        </is>
      </c>
      <c r="E108" s="36">
        <f>IF(ISNUMBER(Profiles!E109),IF(ISNUMBER(Profiles!F109),MAX(0,1-(MAX(0,ABS('User Input'!$B$9-Profiles!E109)-Profiles!F109))/Profiles!F109/3),MAX(0,1-ABS('User Input'!$B$9-Profiles!E109)/(Profiles!E109*0.1)/3)),0.5)</f>
        <v/>
      </c>
      <c r="F108" s="36">
        <f>IF(ISNUMBER(Profiles!G109),IF(ISNUMBER(Profiles!H109),MAX(0,1-(MAX(0,ABS('User Input'!$B$10-Profiles!G109)-Profiles!H109))/Profiles!H109/3),MAX(0,1-ABS('User Input'!$B$10-Profiles!G109)/(Profiles!G109*0.15)/3)),0.5)</f>
        <v/>
      </c>
      <c r="G108" s="36">
        <f>IF(ISNUMBER(Profiles!J109),MAX(0,1-ABS('User Input'!$B$12-Profiles!J109)/5/3),0.5)</f>
        <v/>
      </c>
      <c r="H108" s="36">
        <f>IF(ISNUMBER(Profiles!K109),MAX(0,1-ABS('User Input'!$B$14-Profiles!K109)/0.03/3),"n/a")</f>
        <v/>
      </c>
      <c r="I108" s="36">
        <f>100*MAX(0,1-(MAX(0,Profiles!M109-'User Input'!$B$17)+0.5*MAX(0,'User Input'!$B$17-Profiles!M109)+MAX(0,Profiles!N109-'User Input'!$B$18)+0.5*MAX(0,'User Input'!$B$18-Profiles!N109)+MAX(0,Profiles!O109-'User Input'!$B$19)+0.5*MAX(0,'User Input'!$B$19-Profiles!O109)+MAX(0,Profiles!P109-'User Input'!$B$20)+0.5*MAX(0,'User Input'!$B$20-Profiles!P109)+MAX(0,Profiles!Q109-'User Input'!$B$21)+0.5*MAX(0,'User Input'!$B$21-Profiles!Q109)+MAX(0,Profiles!S109-'User Input'!$B$22)+0.5*MAX(0,'User Input'!$B$22-Profiles!S109)+MAX(0,Profiles!T109-'User Input'!$B$23)+0.5*MAX(0,'User Input'!$B$23-Profiles!T109)+MAX(0,Profiles!U109-'User Input'!$B$24)+0.5*MAX(0,'User Input'!$B$24-Profiles!U109))/40)</f>
        <v/>
      </c>
      <c r="J108" s="36">
        <f>ROUND(60*(E108+F108+G108+IFERROR(VALUE(H108),(E108+F108+G108)/3))/4 + 0.4*I108,1)</f>
        <v/>
      </c>
      <c r="K108" s="36">
        <f>IF(OR(AND('User Input'!$B$6="M",Profiles!$AG109="M"),AND('User Input'!$B$6="F",Profiles!$AG109="F")),1,0)</f>
        <v/>
      </c>
      <c r="L108" s="36">
        <f>IF('User Input'!$B$27="Either",(IF(Profiles!V109&gt;=4,1,0.3)+IF(OR(Profiles!V109&lt;=2,ISNUMBER(SEARCH("Individual",Profiles!D109))),1,0.3))/2,IF('User Input'!$B$27="Team",IF(Profiles!V109&gt;=4,1,0.3),IF(OR(Profiles!V109&lt;=2,ISNUMBER(SEARCH("Individual",Profiles!D109))),1,0.3)))</f>
        <v/>
      </c>
      <c r="M108" s="36">
        <f>IF(IFERROR(MATCH(Profiles!W109,{"None","Light","Medium","Heavy"},0)-1,0)&lt;=IFERROR(MATCH('User Input'!$B$28,{"None","Light","Medium","Heavy"},0)-1,3),1,MAX(0,1-0.4*(IFERROR(MATCH(Profiles!W109,{"None","Light","Medium","Heavy"},0)-1,0)-IFERROR(MATCH('User Input'!$B$28,{"None","Light","Medium","Heavy"},0)-1,3))))</f>
        <v/>
      </c>
      <c r="N108" s="36">
        <f>IF('User Input'!$B$29="neutral",1,IF('User Input'!$B$29="essential",IF(ISNUMBER(SEARCH("Outdoor",Profiles!X109)),1,0.3),IF('User Input'!$B$29="nice",IF(ISNUMBER(SEARCH("Outdoor",Profiles!X109)),1,0.65),IF('User Input'!$B$29="indoor",IF(ISNUMBER(SEARCH("Indoor",Profiles!X109)),1,0.4),1))))</f>
        <v/>
      </c>
      <c r="O108" s="36">
        <f>IF('User Input'!$B$30="Yes",1,IF(Profiles!Y109="Yes",0,1))</f>
        <v/>
      </c>
      <c r="P108" s="36">
        <f>IF(IFERROR(MATCH(Profiles!Z109,{"Low","Medium","High"},0),2)&lt;=IFERROR(MATCH('User Input'!$B$31,{"Low","Medium","High"},0),2),1,MAX(0,1-0.4*(IFERROR(MATCH(Profiles!Z109,{"Low","Medium","High"},0),2)-IFERROR(MATCH('User Input'!$B$31,{"Low","Medium","High"},0),2))))</f>
        <v/>
      </c>
      <c r="Q108" s="36">
        <f>IF('User Input'!$B$32="Yes",IF(ISNUMBER(Profiles!AC109),Profiles!AC109/10,0.5),1)</f>
        <v/>
      </c>
      <c r="R108" s="36">
        <f>IF(OR(K108=0,O108=0),0,ROUND(MIN(100,100*(K108*0.1+L108*0.2+M108*0.2+N108*0.1+P108*0.15+Q108*0.25)*W108*X108*Y108*Z108),1))</f>
        <v/>
      </c>
      <c r="S108" s="36">
        <f>IF(R108=0,0,ROUND(0.5*J108+0.5*R108,1))</f>
        <v/>
      </c>
      <c r="T108" s="36">
        <f>J108-ROW()/1000000</f>
        <v/>
      </c>
      <c r="U108" s="36">
        <f>R108-ROW()/1000000</f>
        <v/>
      </c>
      <c r="V108" s="36">
        <f>S108-ROW()/1000000</f>
        <v/>
      </c>
      <c r="W108" s="36">
        <f>IF(OR(AND(OR(Profiles!D109="Team field",Profiles!D109="Team field contact",Profiles!D109="Team field stick"),'User Input'!$B$34="Yes"),AND(OR(Profiles!D109="Team court",Profiles!D109="Team court contact"),'User Input'!$B$35="Yes"),AND(Profiles!D109="Individual racquet",'User Input'!$B$36="Yes"),AND(OR(Profiles!D109="Combat striking",Profiles!D109="Combat grappling",Profiles!D109="Combat mixed"),'User Input'!$B$37="Yes"),AND(OR(Profiles!D109="Team water contact",Profiles!D109="Individual water"),'User Input'!$B$38="Yes"),AND(OR(Profiles!D109="Endurance individual",Profiles!D109="Endurance individual / pair",Profiles!D109="Endurance individual / pursuit",Profiles!D109="Endurance team / pair",Profiles!D109="Endurance multi"),'User Input'!$B$39="Yes"),AND(OR(Profiles!D109="Strength individual",Profiles!D109="Power-throw individual"),'User Input'!$B$40="Yes"),AND(OR(Profiles!D109="Individual technical",Profiles!D109="Individual aesthetic",Profiles!D109="Team precision"),'User Input'!$B$41="Yes")),1.15,1)</f>
        <v/>
      </c>
      <c r="X108" s="36">
        <f>IF('User Input'!$B$33&lt;&gt;"none",1,IF(IFERROR(VALUE(TRIM(MID(SUBSTITUTE(SUBSTITUTE(Profiles!AA109,"–","-"),"-",REPT(" ",100)),100,100)))&lt;=14,FALSE),0.7,1))</f>
        <v/>
      </c>
      <c r="Y108" s="36">
        <f>IF(OR('User Input'!$B$42="under30",'User Input'!$B$42=""),1,IF('User Input'!$B$42="30to45",IF((IFERROR(MATCH(Profiles!W109,{"None","Light","Medium","Heavy"},0)-1,0)+IFERROR(MATCH(Profiles!AB109,{"Low","Medium","High"},0)-1,0))&gt;=5,0.85,1),IF('User Input'!$B$42="46to60",IF((IFERROR(MATCH(Profiles!W109,{"None","Light","Medium","Heavy"},0)-1,0)+IFERROR(MATCH(Profiles!AB109,{"Low","Medium","High"},0)-1,0))&gt;=5,0.65,IF((IFERROR(MATCH(Profiles!W109,{"None","Light","Medium","Heavy"},0)-1,0)+IFERROR(MATCH(Profiles!AB109,{"Low","Medium","High"},0)-1,0))&gt;=4,0.8,IF((IFERROR(MATCH(Profiles!W109,{"None","Light","Medium","Heavy"},0)-1,0)+IFERROR(MATCH(Profiles!AB109,{"Low","Medium","High"},0)-1,0))&gt;=3,0.9,1))),IF((IFERROR(MATCH(Profiles!W109,{"None","Light","Medium","Heavy"},0)-1,0)+IFERROR(MATCH(Profiles!AB109,{"Low","Medium","High"},0)-1,0))&gt;=5,0.4,IF((IFERROR(MATCH(Profiles!W109,{"None","Light","Medium","Heavy"},0)-1,0)+IFERROR(MATCH(Profiles!AB109,{"Low","Medium","High"},0)-1,0))&gt;=4,0.6,IF((IFERROR(MATCH(Profiles!W109,{"None","Light","Medium","Heavy"},0)-1,0)+IFERROR(MATCH(Profiles!AB109,{"Low","Medium","High"},0)-1,0))&gt;=3,0.75,IF((IFERROR(MATCH(Profiles!W109,{"None","Light","Medium","Heavy"},0)-1,0)+IFERROR(MATCH(Profiles!AB109,{"Low","Medium","High"},0)-1,0))&gt;=2,0.85,1)))))))</f>
        <v/>
      </c>
      <c r="Z108" s="36">
        <f>IF(OR('User Input'!$B$43="none",'User Input'!$B$43=""),1,IF('User Input'!$B$43="minor",IF(IFERROR(MATCH(Profiles!W109,{"None","Light","Medium","Heavy"},0)-1,0)&gt;=3,0.7,IF(IFERROR(MATCH(Profiles!W109,{"None","Light","Medium","Heavy"},0)-1,0)&gt;=2,0.85,1)),IF('User Input'!$B$43="joint",IF(OR(IFERROR(MATCH(Profiles!W109,{"None","Light","Medium","Heavy"},0)-1,0)&gt;=3,IFERROR(MATCH(Profiles!AB109,{"Low","Medium","High"},0)-1,0)&gt;=2),0.5,IF(OR(IFERROR(MATCH(Profiles!W109,{"None","Light","Medium","Heavy"},0)-1,0)&gt;=2,IFERROR(MATCH(Profiles!AB109,{"Low","Medium","High"},0)-1,0)&gt;=1),0.75,1)),IF(OR(IFERROR(MATCH(Profiles!W109,{"None","Light","Medium","Heavy"},0)-1,0)&gt;=2,IFERROR(MATCH(Profiles!AB109,{"Low","Medium","High"},0)-1,0)&gt;=2),0.3,IF(OR(IFERROR(MATCH(Profiles!W109,{"None","Light","Medium","Heavy"},0)-1,0)&gt;=1,IFERROR(MATCH(Profiles!AB109,{"Low","Medium","High"},0)-1,0)&gt;=1),0.6,0.9)))))</f>
        <v/>
      </c>
    </row>
    <row r="109">
      <c r="A109" s="36" t="inlineStr">
        <is>
          <t>SP62</t>
        </is>
      </c>
      <c r="B109" s="36" t="inlineStr">
        <is>
          <t>Hyrox</t>
        </is>
      </c>
      <c r="C109" s="36" t="inlineStr">
        <is>
          <t>Individual</t>
        </is>
      </c>
      <c r="D109" s="36" t="inlineStr">
        <is>
          <t>Endurance multi</t>
        </is>
      </c>
      <c r="E109" s="36">
        <f>IF(ISNUMBER(Profiles!E110),IF(ISNUMBER(Profiles!F110),MAX(0,1-(MAX(0,ABS('User Input'!$B$9-Profiles!E110)-Profiles!F110))/Profiles!F110/3),MAX(0,1-ABS('User Input'!$B$9-Profiles!E110)/(Profiles!E110*0.1)/3)),0.5)</f>
        <v/>
      </c>
      <c r="F109" s="36">
        <f>IF(ISNUMBER(Profiles!G110),IF(ISNUMBER(Profiles!H110),MAX(0,1-(MAX(0,ABS('User Input'!$B$10-Profiles!G110)-Profiles!H110))/Profiles!H110/3),MAX(0,1-ABS('User Input'!$B$10-Profiles!G110)/(Profiles!G110*0.15)/3)),0.5)</f>
        <v/>
      </c>
      <c r="G109" s="36">
        <f>IF(ISNUMBER(Profiles!J110),MAX(0,1-ABS('User Input'!$B$12-Profiles!J110)/5/3),0.5)</f>
        <v/>
      </c>
      <c r="H109" s="36">
        <f>IF(ISNUMBER(Profiles!K110),MAX(0,1-ABS('User Input'!$B$14-Profiles!K110)/0.03/3),"n/a")</f>
        <v/>
      </c>
      <c r="I109" s="36">
        <f>100*MAX(0,1-(MAX(0,Profiles!M110-'User Input'!$B$17)+0.5*MAX(0,'User Input'!$B$17-Profiles!M110)+MAX(0,Profiles!N110-'User Input'!$B$18)+0.5*MAX(0,'User Input'!$B$18-Profiles!N110)+MAX(0,Profiles!O110-'User Input'!$B$19)+0.5*MAX(0,'User Input'!$B$19-Profiles!O110)+MAX(0,Profiles!P110-'User Input'!$B$20)+0.5*MAX(0,'User Input'!$B$20-Profiles!P110)+MAX(0,Profiles!Q110-'User Input'!$B$21)+0.5*MAX(0,'User Input'!$B$21-Profiles!Q110)+MAX(0,Profiles!S110-'User Input'!$B$22)+0.5*MAX(0,'User Input'!$B$22-Profiles!S110)+MAX(0,Profiles!T110-'User Input'!$B$23)+0.5*MAX(0,'User Input'!$B$23-Profiles!T110)+MAX(0,Profiles!U110-'User Input'!$B$24)+0.5*MAX(0,'User Input'!$B$24-Profiles!U110))/40)</f>
        <v/>
      </c>
      <c r="J109" s="36">
        <f>ROUND(60*(E109+F109+G109+IFERROR(VALUE(H109),(E109+F109+G109)/3))/4 + 0.4*I109,1)</f>
        <v/>
      </c>
      <c r="K109" s="36">
        <f>IF(OR(AND('User Input'!$B$6="M",Profiles!$AG110="M"),AND('User Input'!$B$6="F",Profiles!$AG110="F")),1,0)</f>
        <v/>
      </c>
      <c r="L109" s="36">
        <f>IF('User Input'!$B$27="Either",(IF(Profiles!V110&gt;=4,1,0.3)+IF(OR(Profiles!V110&lt;=2,ISNUMBER(SEARCH("Individual",Profiles!D110))),1,0.3))/2,IF('User Input'!$B$27="Team",IF(Profiles!V110&gt;=4,1,0.3),IF(OR(Profiles!V110&lt;=2,ISNUMBER(SEARCH("Individual",Profiles!D110))),1,0.3)))</f>
        <v/>
      </c>
      <c r="M109" s="36">
        <f>IF(IFERROR(MATCH(Profiles!W110,{"None","Light","Medium","Heavy"},0)-1,0)&lt;=IFERROR(MATCH('User Input'!$B$28,{"None","Light","Medium","Heavy"},0)-1,3),1,MAX(0,1-0.4*(IFERROR(MATCH(Profiles!W110,{"None","Light","Medium","Heavy"},0)-1,0)-IFERROR(MATCH('User Input'!$B$28,{"None","Light","Medium","Heavy"},0)-1,3))))</f>
        <v/>
      </c>
      <c r="N109" s="36">
        <f>IF('User Input'!$B$29="neutral",1,IF('User Input'!$B$29="essential",IF(ISNUMBER(SEARCH("Outdoor",Profiles!X110)),1,0.3),IF('User Input'!$B$29="nice",IF(ISNUMBER(SEARCH("Outdoor",Profiles!X110)),1,0.65),IF('User Input'!$B$29="indoor",IF(ISNUMBER(SEARCH("Indoor",Profiles!X110)),1,0.4),1))))</f>
        <v/>
      </c>
      <c r="O109" s="36">
        <f>IF('User Input'!$B$30="Yes",1,IF(Profiles!Y110="Yes",0,1))</f>
        <v/>
      </c>
      <c r="P109" s="36">
        <f>IF(IFERROR(MATCH(Profiles!Z110,{"Low","Medium","High"},0),2)&lt;=IFERROR(MATCH('User Input'!$B$31,{"Low","Medium","High"},0),2),1,MAX(0,1-0.4*(IFERROR(MATCH(Profiles!Z110,{"Low","Medium","High"},0),2)-IFERROR(MATCH('User Input'!$B$31,{"Low","Medium","High"},0),2))))</f>
        <v/>
      </c>
      <c r="Q109" s="36">
        <f>IF('User Input'!$B$32="Yes",IF(ISNUMBER(Profiles!AC110),Profiles!AC110/10,0.5),1)</f>
        <v/>
      </c>
      <c r="R109" s="36">
        <f>IF(OR(K109=0,O109=0),0,ROUND(MIN(100,100*(K109*0.1+L109*0.2+M109*0.2+N109*0.1+P109*0.15+Q109*0.25)*W109*X109*Y109*Z109),1))</f>
        <v/>
      </c>
      <c r="S109" s="36">
        <f>IF(R109=0,0,ROUND(0.5*J109+0.5*R109,1))</f>
        <v/>
      </c>
      <c r="T109" s="36">
        <f>J109-ROW()/1000000</f>
        <v/>
      </c>
      <c r="U109" s="36">
        <f>R109-ROW()/1000000</f>
        <v/>
      </c>
      <c r="V109" s="36">
        <f>S109-ROW()/1000000</f>
        <v/>
      </c>
      <c r="W109" s="36">
        <f>IF(OR(AND(OR(Profiles!D110="Team field",Profiles!D110="Team field contact",Profiles!D110="Team field stick"),'User Input'!$B$34="Yes"),AND(OR(Profiles!D110="Team court",Profiles!D110="Team court contact"),'User Input'!$B$35="Yes"),AND(Profiles!D110="Individual racquet",'User Input'!$B$36="Yes"),AND(OR(Profiles!D110="Combat striking",Profiles!D110="Combat grappling",Profiles!D110="Combat mixed"),'User Input'!$B$37="Yes"),AND(OR(Profiles!D110="Team water contact",Profiles!D110="Individual water"),'User Input'!$B$38="Yes"),AND(OR(Profiles!D110="Endurance individual",Profiles!D110="Endurance individual / pair",Profiles!D110="Endurance individual / pursuit",Profiles!D110="Endurance team / pair",Profiles!D110="Endurance multi"),'User Input'!$B$39="Yes"),AND(OR(Profiles!D110="Strength individual",Profiles!D110="Power-throw individual"),'User Input'!$B$40="Yes"),AND(OR(Profiles!D110="Individual technical",Profiles!D110="Individual aesthetic",Profiles!D110="Team precision"),'User Input'!$B$41="Yes")),1.15,1)</f>
        <v/>
      </c>
      <c r="X109" s="36">
        <f>IF('User Input'!$B$33&lt;&gt;"none",1,IF(IFERROR(VALUE(TRIM(MID(SUBSTITUTE(SUBSTITUTE(Profiles!AA110,"–","-"),"-",REPT(" ",100)),100,100)))&lt;=14,FALSE),0.7,1))</f>
        <v/>
      </c>
      <c r="Y109" s="36">
        <f>IF(OR('User Input'!$B$42="under30",'User Input'!$B$42=""),1,IF('User Input'!$B$42="30to45",IF((IFERROR(MATCH(Profiles!W110,{"None","Light","Medium","Heavy"},0)-1,0)+IFERROR(MATCH(Profiles!AB110,{"Low","Medium","High"},0)-1,0))&gt;=5,0.85,1),IF('User Input'!$B$42="46to60",IF((IFERROR(MATCH(Profiles!W110,{"None","Light","Medium","Heavy"},0)-1,0)+IFERROR(MATCH(Profiles!AB110,{"Low","Medium","High"},0)-1,0))&gt;=5,0.65,IF((IFERROR(MATCH(Profiles!W110,{"None","Light","Medium","Heavy"},0)-1,0)+IFERROR(MATCH(Profiles!AB110,{"Low","Medium","High"},0)-1,0))&gt;=4,0.8,IF((IFERROR(MATCH(Profiles!W110,{"None","Light","Medium","Heavy"},0)-1,0)+IFERROR(MATCH(Profiles!AB110,{"Low","Medium","High"},0)-1,0))&gt;=3,0.9,1))),IF((IFERROR(MATCH(Profiles!W110,{"None","Light","Medium","Heavy"},0)-1,0)+IFERROR(MATCH(Profiles!AB110,{"Low","Medium","High"},0)-1,0))&gt;=5,0.4,IF((IFERROR(MATCH(Profiles!W110,{"None","Light","Medium","Heavy"},0)-1,0)+IFERROR(MATCH(Profiles!AB110,{"Low","Medium","High"},0)-1,0))&gt;=4,0.6,IF((IFERROR(MATCH(Profiles!W110,{"None","Light","Medium","Heavy"},0)-1,0)+IFERROR(MATCH(Profiles!AB110,{"Low","Medium","High"},0)-1,0))&gt;=3,0.75,IF((IFERROR(MATCH(Profiles!W110,{"None","Light","Medium","Heavy"},0)-1,0)+IFERROR(MATCH(Profiles!AB110,{"Low","Medium","High"},0)-1,0))&gt;=2,0.85,1)))))))</f>
        <v/>
      </c>
      <c r="Z109" s="36">
        <f>IF(OR('User Input'!$B$43="none",'User Input'!$B$43=""),1,IF('User Input'!$B$43="minor",IF(IFERROR(MATCH(Profiles!W110,{"None","Light","Medium","Heavy"},0)-1,0)&gt;=3,0.7,IF(IFERROR(MATCH(Profiles!W110,{"None","Light","Medium","Heavy"},0)-1,0)&gt;=2,0.85,1)),IF('User Input'!$B$43="joint",IF(OR(IFERROR(MATCH(Profiles!W110,{"None","Light","Medium","Heavy"},0)-1,0)&gt;=3,IFERROR(MATCH(Profiles!AB110,{"Low","Medium","High"},0)-1,0)&gt;=2),0.5,IF(OR(IFERROR(MATCH(Profiles!W110,{"None","Light","Medium","Heavy"},0)-1,0)&gt;=2,IFERROR(MATCH(Profiles!AB110,{"Low","Medium","High"},0)-1,0)&gt;=1),0.75,1)),IF(OR(IFERROR(MATCH(Profiles!W110,{"None","Light","Medium","Heavy"},0)-1,0)&gt;=2,IFERROR(MATCH(Profiles!AB110,{"Low","Medium","High"},0)-1,0)&gt;=2),0.3,IF(OR(IFERROR(MATCH(Profiles!W110,{"None","Light","Medium","Heavy"},0)-1,0)&gt;=1,IFERROR(MATCH(Profiles!AB110,{"Low","Medium","High"},0)-1,0)&gt;=1),0.6,0.9)))))</f>
        <v/>
      </c>
    </row>
    <row r="110">
      <c r="A110" s="36" t="inlineStr">
        <is>
          <t>SP63</t>
        </is>
      </c>
      <c r="B110" s="36" t="inlineStr">
        <is>
          <t>CrossFit</t>
        </is>
      </c>
      <c r="C110" s="36" t="inlineStr">
        <is>
          <t>WOD / Competition</t>
        </is>
      </c>
      <c r="D110" s="36" t="inlineStr">
        <is>
          <t>Endurance multi</t>
        </is>
      </c>
      <c r="E110" s="36">
        <f>IF(ISNUMBER(Profiles!E111),IF(ISNUMBER(Profiles!F111),MAX(0,1-(MAX(0,ABS('User Input'!$B$9-Profiles!E111)-Profiles!F111))/Profiles!F111/3),MAX(0,1-ABS('User Input'!$B$9-Profiles!E111)/(Profiles!E111*0.1)/3)),0.5)</f>
        <v/>
      </c>
      <c r="F110" s="36">
        <f>IF(ISNUMBER(Profiles!G111),IF(ISNUMBER(Profiles!H111),MAX(0,1-(MAX(0,ABS('User Input'!$B$10-Profiles!G111)-Profiles!H111))/Profiles!H111/3),MAX(0,1-ABS('User Input'!$B$10-Profiles!G111)/(Profiles!G111*0.15)/3)),0.5)</f>
        <v/>
      </c>
      <c r="G110" s="36">
        <f>IF(ISNUMBER(Profiles!J111),MAX(0,1-ABS('User Input'!$B$12-Profiles!J111)/5/3),0.5)</f>
        <v/>
      </c>
      <c r="H110" s="36">
        <f>IF(ISNUMBER(Profiles!K111),MAX(0,1-ABS('User Input'!$B$14-Profiles!K111)/0.03/3),"n/a")</f>
        <v/>
      </c>
      <c r="I110" s="36">
        <f>100*MAX(0,1-(MAX(0,Profiles!M111-'User Input'!$B$17)+0.5*MAX(0,'User Input'!$B$17-Profiles!M111)+MAX(0,Profiles!N111-'User Input'!$B$18)+0.5*MAX(0,'User Input'!$B$18-Profiles!N111)+MAX(0,Profiles!O111-'User Input'!$B$19)+0.5*MAX(0,'User Input'!$B$19-Profiles!O111)+MAX(0,Profiles!P111-'User Input'!$B$20)+0.5*MAX(0,'User Input'!$B$20-Profiles!P111)+MAX(0,Profiles!Q111-'User Input'!$B$21)+0.5*MAX(0,'User Input'!$B$21-Profiles!Q111)+MAX(0,Profiles!S111-'User Input'!$B$22)+0.5*MAX(0,'User Input'!$B$22-Profiles!S111)+MAX(0,Profiles!T111-'User Input'!$B$23)+0.5*MAX(0,'User Input'!$B$23-Profiles!T111)+MAX(0,Profiles!U111-'User Input'!$B$24)+0.5*MAX(0,'User Input'!$B$24-Profiles!U111))/40)</f>
        <v/>
      </c>
      <c r="J110" s="36">
        <f>ROUND(60*(E110+F110+G110+IFERROR(VALUE(H110),(E110+F110+G110)/3))/4 + 0.4*I110,1)</f>
        <v/>
      </c>
      <c r="K110" s="36">
        <f>IF(OR(AND('User Input'!$B$6="M",Profiles!$AG111="M"),AND('User Input'!$B$6="F",Profiles!$AG111="F")),1,0)</f>
        <v/>
      </c>
      <c r="L110" s="36">
        <f>IF('User Input'!$B$27="Either",(IF(Profiles!V111&gt;=4,1,0.3)+IF(OR(Profiles!V111&lt;=2,ISNUMBER(SEARCH("Individual",Profiles!D111))),1,0.3))/2,IF('User Input'!$B$27="Team",IF(Profiles!V111&gt;=4,1,0.3),IF(OR(Profiles!V111&lt;=2,ISNUMBER(SEARCH("Individual",Profiles!D111))),1,0.3)))</f>
        <v/>
      </c>
      <c r="M110" s="36">
        <f>IF(IFERROR(MATCH(Profiles!W111,{"None","Light","Medium","Heavy"},0)-1,0)&lt;=IFERROR(MATCH('User Input'!$B$28,{"None","Light","Medium","Heavy"},0)-1,3),1,MAX(0,1-0.4*(IFERROR(MATCH(Profiles!W111,{"None","Light","Medium","Heavy"},0)-1,0)-IFERROR(MATCH('User Input'!$B$28,{"None","Light","Medium","Heavy"},0)-1,3))))</f>
        <v/>
      </c>
      <c r="N110" s="36">
        <f>IF('User Input'!$B$29="neutral",1,IF('User Input'!$B$29="essential",IF(ISNUMBER(SEARCH("Outdoor",Profiles!X111)),1,0.3),IF('User Input'!$B$29="nice",IF(ISNUMBER(SEARCH("Outdoor",Profiles!X111)),1,0.65),IF('User Input'!$B$29="indoor",IF(ISNUMBER(SEARCH("Indoor",Profiles!X111)),1,0.4),1))))</f>
        <v/>
      </c>
      <c r="O110" s="36">
        <f>IF('User Input'!$B$30="Yes",1,IF(Profiles!Y111="Yes",0,1))</f>
        <v/>
      </c>
      <c r="P110" s="36">
        <f>IF(IFERROR(MATCH(Profiles!Z111,{"Low","Medium","High"},0),2)&lt;=IFERROR(MATCH('User Input'!$B$31,{"Low","Medium","High"},0),2),1,MAX(0,1-0.4*(IFERROR(MATCH(Profiles!Z111,{"Low","Medium","High"},0),2)-IFERROR(MATCH('User Input'!$B$31,{"Low","Medium","High"},0),2))))</f>
        <v/>
      </c>
      <c r="Q110" s="36">
        <f>IF('User Input'!$B$32="Yes",IF(ISNUMBER(Profiles!AC111),Profiles!AC111/10,0.5),1)</f>
        <v/>
      </c>
      <c r="R110" s="36">
        <f>IF(OR(K110=0,O110=0),0,ROUND(MIN(100,100*(K110*0.1+L110*0.2+M110*0.2+N110*0.1+P110*0.15+Q110*0.25)*W110*X110*Y110*Z110),1))</f>
        <v/>
      </c>
      <c r="S110" s="36">
        <f>IF(R110=0,0,ROUND(0.5*J110+0.5*R110,1))</f>
        <v/>
      </c>
      <c r="T110" s="36">
        <f>J110-ROW()/1000000</f>
        <v/>
      </c>
      <c r="U110" s="36">
        <f>R110-ROW()/1000000</f>
        <v/>
      </c>
      <c r="V110" s="36">
        <f>S110-ROW()/1000000</f>
        <v/>
      </c>
      <c r="W110" s="36">
        <f>IF(OR(AND(OR(Profiles!D111="Team field",Profiles!D111="Team field contact",Profiles!D111="Team field stick"),'User Input'!$B$34="Yes"),AND(OR(Profiles!D111="Team court",Profiles!D111="Team court contact"),'User Input'!$B$35="Yes"),AND(Profiles!D111="Individual racquet",'User Input'!$B$36="Yes"),AND(OR(Profiles!D111="Combat striking",Profiles!D111="Combat grappling",Profiles!D111="Combat mixed"),'User Input'!$B$37="Yes"),AND(OR(Profiles!D111="Team water contact",Profiles!D111="Individual water"),'User Input'!$B$38="Yes"),AND(OR(Profiles!D111="Endurance individual",Profiles!D111="Endurance individual / pair",Profiles!D111="Endurance individual / pursuit",Profiles!D111="Endurance team / pair",Profiles!D111="Endurance multi"),'User Input'!$B$39="Yes"),AND(OR(Profiles!D111="Strength individual",Profiles!D111="Power-throw individual"),'User Input'!$B$40="Yes"),AND(OR(Profiles!D111="Individual technical",Profiles!D111="Individual aesthetic",Profiles!D111="Team precision"),'User Input'!$B$41="Yes")),1.15,1)</f>
        <v/>
      </c>
      <c r="X110" s="36">
        <f>IF('User Input'!$B$33&lt;&gt;"none",1,IF(IFERROR(VALUE(TRIM(MID(SUBSTITUTE(SUBSTITUTE(Profiles!AA111,"–","-"),"-",REPT(" ",100)),100,100)))&lt;=14,FALSE),0.7,1))</f>
        <v/>
      </c>
      <c r="Y110" s="36">
        <f>IF(OR('User Input'!$B$42="under30",'User Input'!$B$42=""),1,IF('User Input'!$B$42="30to45",IF((IFERROR(MATCH(Profiles!W111,{"None","Light","Medium","Heavy"},0)-1,0)+IFERROR(MATCH(Profiles!AB111,{"Low","Medium","High"},0)-1,0))&gt;=5,0.85,1),IF('User Input'!$B$42="46to60",IF((IFERROR(MATCH(Profiles!W111,{"None","Light","Medium","Heavy"},0)-1,0)+IFERROR(MATCH(Profiles!AB111,{"Low","Medium","High"},0)-1,0))&gt;=5,0.65,IF((IFERROR(MATCH(Profiles!W111,{"None","Light","Medium","Heavy"},0)-1,0)+IFERROR(MATCH(Profiles!AB111,{"Low","Medium","High"},0)-1,0))&gt;=4,0.8,IF((IFERROR(MATCH(Profiles!W111,{"None","Light","Medium","Heavy"},0)-1,0)+IFERROR(MATCH(Profiles!AB111,{"Low","Medium","High"},0)-1,0))&gt;=3,0.9,1))),IF((IFERROR(MATCH(Profiles!W111,{"None","Light","Medium","Heavy"},0)-1,0)+IFERROR(MATCH(Profiles!AB111,{"Low","Medium","High"},0)-1,0))&gt;=5,0.4,IF((IFERROR(MATCH(Profiles!W111,{"None","Light","Medium","Heavy"},0)-1,0)+IFERROR(MATCH(Profiles!AB111,{"Low","Medium","High"},0)-1,0))&gt;=4,0.6,IF((IFERROR(MATCH(Profiles!W111,{"None","Light","Medium","Heavy"},0)-1,0)+IFERROR(MATCH(Profiles!AB111,{"Low","Medium","High"},0)-1,0))&gt;=3,0.75,IF((IFERROR(MATCH(Profiles!W111,{"None","Light","Medium","Heavy"},0)-1,0)+IFERROR(MATCH(Profiles!AB111,{"Low","Medium","High"},0)-1,0))&gt;=2,0.85,1)))))))</f>
        <v/>
      </c>
      <c r="Z110" s="36">
        <f>IF(OR('User Input'!$B$43="none",'User Input'!$B$43=""),1,IF('User Input'!$B$43="minor",IF(IFERROR(MATCH(Profiles!W111,{"None","Light","Medium","Heavy"},0)-1,0)&gt;=3,0.7,IF(IFERROR(MATCH(Profiles!W111,{"None","Light","Medium","Heavy"},0)-1,0)&gt;=2,0.85,1)),IF('User Input'!$B$43="joint",IF(OR(IFERROR(MATCH(Profiles!W111,{"None","Light","Medium","Heavy"},0)-1,0)&gt;=3,IFERROR(MATCH(Profiles!AB111,{"Low","Medium","High"},0)-1,0)&gt;=2),0.5,IF(OR(IFERROR(MATCH(Profiles!W111,{"None","Light","Medium","Heavy"},0)-1,0)&gt;=2,IFERROR(MATCH(Profiles!AB111,{"Low","Medium","High"},0)-1,0)&gt;=1),0.75,1)),IF(OR(IFERROR(MATCH(Profiles!W111,{"None","Light","Medium","Heavy"},0)-1,0)&gt;=2,IFERROR(MATCH(Profiles!AB111,{"Low","Medium","High"},0)-1,0)&gt;=2),0.3,IF(OR(IFERROR(MATCH(Profiles!W111,{"None","Light","Medium","Heavy"},0)-1,0)&gt;=1,IFERROR(MATCH(Profiles!AB111,{"Low","Medium","High"},0)-1,0)&gt;=1),0.6,0.9)))))</f>
        <v/>
      </c>
    </row>
    <row r="111">
      <c r="A111" s="36" t="inlineStr">
        <is>
          <t>SP64</t>
        </is>
      </c>
      <c r="B111" s="36" t="inlineStr">
        <is>
          <t>Drone Racing (FPV)</t>
        </is>
      </c>
      <c r="C111" s="36" t="inlineStr">
        <is>
          <t>Individual</t>
        </is>
      </c>
      <c r="D111" s="36" t="inlineStr">
        <is>
          <t>Individual technical</t>
        </is>
      </c>
      <c r="E111" s="36">
        <f>IF(ISNUMBER(Profiles!E112),IF(ISNUMBER(Profiles!F112),MAX(0,1-(MAX(0,ABS('User Input'!$B$9-Profiles!E112)-Profiles!F112))/Profiles!F112/3),MAX(0,1-ABS('User Input'!$B$9-Profiles!E112)/(Profiles!E112*0.1)/3)),0.5)</f>
        <v/>
      </c>
      <c r="F111" s="36">
        <f>IF(ISNUMBER(Profiles!G112),IF(ISNUMBER(Profiles!H112),MAX(0,1-(MAX(0,ABS('User Input'!$B$10-Profiles!G112)-Profiles!H112))/Profiles!H112/3),MAX(0,1-ABS('User Input'!$B$10-Profiles!G112)/(Profiles!G112*0.15)/3)),0.5)</f>
        <v/>
      </c>
      <c r="G111" s="36">
        <f>IF(ISNUMBER(Profiles!J112),MAX(0,1-ABS('User Input'!$B$12-Profiles!J112)/5/3),0.5)</f>
        <v/>
      </c>
      <c r="H111" s="36">
        <f>IF(ISNUMBER(Profiles!K112),MAX(0,1-ABS('User Input'!$B$14-Profiles!K112)/0.03/3),"n/a")</f>
        <v/>
      </c>
      <c r="I111" s="36">
        <f>100*MAX(0,1-(MAX(0,Profiles!M112-'User Input'!$B$17)+0.5*MAX(0,'User Input'!$B$17-Profiles!M112)+MAX(0,Profiles!N112-'User Input'!$B$18)+0.5*MAX(0,'User Input'!$B$18-Profiles!N112)+MAX(0,Profiles!O112-'User Input'!$B$19)+0.5*MAX(0,'User Input'!$B$19-Profiles!O112)+MAX(0,Profiles!P112-'User Input'!$B$20)+0.5*MAX(0,'User Input'!$B$20-Profiles!P112)+MAX(0,Profiles!Q112-'User Input'!$B$21)+0.5*MAX(0,'User Input'!$B$21-Profiles!Q112)+MAX(0,Profiles!S112-'User Input'!$B$22)+0.5*MAX(0,'User Input'!$B$22-Profiles!S112)+MAX(0,Profiles!T112-'User Input'!$B$23)+0.5*MAX(0,'User Input'!$B$23-Profiles!T112)+MAX(0,Profiles!U112-'User Input'!$B$24)+0.5*MAX(0,'User Input'!$B$24-Profiles!U112))/40)</f>
        <v/>
      </c>
      <c r="J111" s="36">
        <f>ROUND(60*(E111+F111+G111+IFERROR(VALUE(H111),(E111+F111+G111)/3))/4 + 0.4*I111,1)</f>
        <v/>
      </c>
      <c r="K111" s="36">
        <f>IF(OR(AND('User Input'!$B$6="M",Profiles!$AG112="M"),AND('User Input'!$B$6="F",Profiles!$AG112="F")),1,0)</f>
        <v/>
      </c>
      <c r="L111" s="36">
        <f>IF('User Input'!$B$27="Either",(IF(Profiles!V112&gt;=4,1,0.3)+IF(OR(Profiles!V112&lt;=2,ISNUMBER(SEARCH("Individual",Profiles!D112))),1,0.3))/2,IF('User Input'!$B$27="Team",IF(Profiles!V112&gt;=4,1,0.3),IF(OR(Profiles!V112&lt;=2,ISNUMBER(SEARCH("Individual",Profiles!D112))),1,0.3)))</f>
        <v/>
      </c>
      <c r="M111" s="36">
        <f>IF(IFERROR(MATCH(Profiles!W112,{"None","Light","Medium","Heavy"},0)-1,0)&lt;=IFERROR(MATCH('User Input'!$B$28,{"None","Light","Medium","Heavy"},0)-1,3),1,MAX(0,1-0.4*(IFERROR(MATCH(Profiles!W112,{"None","Light","Medium","Heavy"},0)-1,0)-IFERROR(MATCH('User Input'!$B$28,{"None","Light","Medium","Heavy"},0)-1,3))))</f>
        <v/>
      </c>
      <c r="N111" s="36">
        <f>IF('User Input'!$B$29="neutral",1,IF('User Input'!$B$29="essential",IF(ISNUMBER(SEARCH("Outdoor",Profiles!X112)),1,0.3),IF('User Input'!$B$29="nice",IF(ISNUMBER(SEARCH("Outdoor",Profiles!X112)),1,0.65),IF('User Input'!$B$29="indoor",IF(ISNUMBER(SEARCH("Indoor",Profiles!X112)),1,0.4),1))))</f>
        <v/>
      </c>
      <c r="O111" s="36">
        <f>IF('User Input'!$B$30="Yes",1,IF(Profiles!Y112="Yes",0,1))</f>
        <v/>
      </c>
      <c r="P111" s="36">
        <f>IF(IFERROR(MATCH(Profiles!Z112,{"Low","Medium","High"},0),2)&lt;=IFERROR(MATCH('User Input'!$B$31,{"Low","Medium","High"},0),2),1,MAX(0,1-0.4*(IFERROR(MATCH(Profiles!Z112,{"Low","Medium","High"},0),2)-IFERROR(MATCH('User Input'!$B$31,{"Low","Medium","High"},0),2))))</f>
        <v/>
      </c>
      <c r="Q111" s="36">
        <f>IF('User Input'!$B$32="Yes",IF(ISNUMBER(Profiles!AC112),Profiles!AC112/10,0.5),1)</f>
        <v/>
      </c>
      <c r="R111" s="36">
        <f>IF(OR(K111=0,O111=0),0,ROUND(MIN(100,100*(K111*0.1+L111*0.2+M111*0.2+N111*0.1+P111*0.15+Q111*0.25)*W111*X111*Y111*Z111),1))</f>
        <v/>
      </c>
      <c r="S111" s="36">
        <f>IF(R111=0,0,ROUND(0.5*J111+0.5*R111,1))</f>
        <v/>
      </c>
      <c r="T111" s="36">
        <f>J111-ROW()/1000000</f>
        <v/>
      </c>
      <c r="U111" s="36">
        <f>R111-ROW()/1000000</f>
        <v/>
      </c>
      <c r="V111" s="36">
        <f>S111-ROW()/1000000</f>
        <v/>
      </c>
      <c r="W111" s="36">
        <f>IF(OR(AND(OR(Profiles!D112="Team field",Profiles!D112="Team field contact",Profiles!D112="Team field stick"),'User Input'!$B$34="Yes"),AND(OR(Profiles!D112="Team court",Profiles!D112="Team court contact"),'User Input'!$B$35="Yes"),AND(Profiles!D112="Individual racquet",'User Input'!$B$36="Yes"),AND(OR(Profiles!D112="Combat striking",Profiles!D112="Combat grappling",Profiles!D112="Combat mixed"),'User Input'!$B$37="Yes"),AND(OR(Profiles!D112="Team water contact",Profiles!D112="Individual water"),'User Input'!$B$38="Yes"),AND(OR(Profiles!D112="Endurance individual",Profiles!D112="Endurance individual / pair",Profiles!D112="Endurance individual / pursuit",Profiles!D112="Endurance team / pair",Profiles!D112="Endurance multi"),'User Input'!$B$39="Yes"),AND(OR(Profiles!D112="Strength individual",Profiles!D112="Power-throw individual"),'User Input'!$B$40="Yes"),AND(OR(Profiles!D112="Individual technical",Profiles!D112="Individual aesthetic",Profiles!D112="Team precision"),'User Input'!$B$41="Yes")),1.15,1)</f>
        <v/>
      </c>
      <c r="X111" s="36">
        <f>IF('User Input'!$B$33&lt;&gt;"none",1,IF(IFERROR(VALUE(TRIM(MID(SUBSTITUTE(SUBSTITUTE(Profiles!AA112,"–","-"),"-",REPT(" ",100)),100,100)))&lt;=14,FALSE),0.7,1))</f>
        <v/>
      </c>
      <c r="Y111" s="36">
        <f>IF(OR('User Input'!$B$42="under30",'User Input'!$B$42=""),1,IF('User Input'!$B$42="30to45",IF((IFERROR(MATCH(Profiles!W112,{"None","Light","Medium","Heavy"},0)-1,0)+IFERROR(MATCH(Profiles!AB112,{"Low","Medium","High"},0)-1,0))&gt;=5,0.85,1),IF('User Input'!$B$42="46to60",IF((IFERROR(MATCH(Profiles!W112,{"None","Light","Medium","Heavy"},0)-1,0)+IFERROR(MATCH(Profiles!AB112,{"Low","Medium","High"},0)-1,0))&gt;=5,0.65,IF((IFERROR(MATCH(Profiles!W112,{"None","Light","Medium","Heavy"},0)-1,0)+IFERROR(MATCH(Profiles!AB112,{"Low","Medium","High"},0)-1,0))&gt;=4,0.8,IF((IFERROR(MATCH(Profiles!W112,{"None","Light","Medium","Heavy"},0)-1,0)+IFERROR(MATCH(Profiles!AB112,{"Low","Medium","High"},0)-1,0))&gt;=3,0.9,1))),IF((IFERROR(MATCH(Profiles!W112,{"None","Light","Medium","Heavy"},0)-1,0)+IFERROR(MATCH(Profiles!AB112,{"Low","Medium","High"},0)-1,0))&gt;=5,0.4,IF((IFERROR(MATCH(Profiles!W112,{"None","Light","Medium","Heavy"},0)-1,0)+IFERROR(MATCH(Profiles!AB112,{"Low","Medium","High"},0)-1,0))&gt;=4,0.6,IF((IFERROR(MATCH(Profiles!W112,{"None","Light","Medium","Heavy"},0)-1,0)+IFERROR(MATCH(Profiles!AB112,{"Low","Medium","High"},0)-1,0))&gt;=3,0.75,IF((IFERROR(MATCH(Profiles!W112,{"None","Light","Medium","Heavy"},0)-1,0)+IFERROR(MATCH(Profiles!AB112,{"Low","Medium","High"},0)-1,0))&gt;=2,0.85,1)))))))</f>
        <v/>
      </c>
      <c r="Z111" s="36">
        <f>IF(OR('User Input'!$B$43="none",'User Input'!$B$43=""),1,IF('User Input'!$B$43="minor",IF(IFERROR(MATCH(Profiles!W112,{"None","Light","Medium","Heavy"},0)-1,0)&gt;=3,0.7,IF(IFERROR(MATCH(Profiles!W112,{"None","Light","Medium","Heavy"},0)-1,0)&gt;=2,0.85,1)),IF('User Input'!$B$43="joint",IF(OR(IFERROR(MATCH(Profiles!W112,{"None","Light","Medium","Heavy"},0)-1,0)&gt;=3,IFERROR(MATCH(Profiles!AB112,{"Low","Medium","High"},0)-1,0)&gt;=2),0.5,IF(OR(IFERROR(MATCH(Profiles!W112,{"None","Light","Medium","Heavy"},0)-1,0)&gt;=2,IFERROR(MATCH(Profiles!AB112,{"Low","Medium","High"},0)-1,0)&gt;=1),0.75,1)),IF(OR(IFERROR(MATCH(Profiles!W112,{"None","Light","Medium","Heavy"},0)-1,0)&gt;=2,IFERROR(MATCH(Profiles!AB112,{"Low","Medium","High"},0)-1,0)&gt;=2),0.3,IF(OR(IFERROR(MATCH(Profiles!W112,{"None","Light","Medium","Heavy"},0)-1,0)&gt;=1,IFERROR(MATCH(Profiles!AB112,{"Low","Medium","High"},0)-1,0)&gt;=1),0.6,0.9)))))</f>
        <v/>
      </c>
    </row>
    <row r="112">
      <c r="A112" s="36" t="inlineStr">
        <is>
          <t>SP65</t>
        </is>
      </c>
      <c r="B112" s="36" t="inlineStr">
        <is>
          <t>Karting</t>
        </is>
      </c>
      <c r="C112" s="36" t="inlineStr">
        <is>
          <t>Sprint / Endurance</t>
        </is>
      </c>
      <c r="D112" s="36" t="inlineStr">
        <is>
          <t>Individual technical</t>
        </is>
      </c>
      <c r="E112" s="36">
        <f>IF(ISNUMBER(Profiles!E113),IF(ISNUMBER(Profiles!F113),MAX(0,1-(MAX(0,ABS('User Input'!$B$9-Profiles!E113)-Profiles!F113))/Profiles!F113/3),MAX(0,1-ABS('User Input'!$B$9-Profiles!E113)/(Profiles!E113*0.1)/3)),0.5)</f>
        <v/>
      </c>
      <c r="F112" s="36">
        <f>IF(ISNUMBER(Profiles!G113),IF(ISNUMBER(Profiles!H113),MAX(0,1-(MAX(0,ABS('User Input'!$B$10-Profiles!G113)-Profiles!H113))/Profiles!H113/3),MAX(0,1-ABS('User Input'!$B$10-Profiles!G113)/(Profiles!G113*0.15)/3)),0.5)</f>
        <v/>
      </c>
      <c r="G112" s="36">
        <f>IF(ISNUMBER(Profiles!J113),MAX(0,1-ABS('User Input'!$B$12-Profiles!J113)/5/3),0.5)</f>
        <v/>
      </c>
      <c r="H112" s="36">
        <f>IF(ISNUMBER(Profiles!K113),MAX(0,1-ABS('User Input'!$B$14-Profiles!K113)/0.03/3),"n/a")</f>
        <v/>
      </c>
      <c r="I112" s="36">
        <f>100*MAX(0,1-(MAX(0,Profiles!M113-'User Input'!$B$17)+0.5*MAX(0,'User Input'!$B$17-Profiles!M113)+MAX(0,Profiles!N113-'User Input'!$B$18)+0.5*MAX(0,'User Input'!$B$18-Profiles!N113)+MAX(0,Profiles!O113-'User Input'!$B$19)+0.5*MAX(0,'User Input'!$B$19-Profiles!O113)+MAX(0,Profiles!P113-'User Input'!$B$20)+0.5*MAX(0,'User Input'!$B$20-Profiles!P113)+MAX(0,Profiles!Q113-'User Input'!$B$21)+0.5*MAX(0,'User Input'!$B$21-Profiles!Q113)+MAX(0,Profiles!S113-'User Input'!$B$22)+0.5*MAX(0,'User Input'!$B$22-Profiles!S113)+MAX(0,Profiles!T113-'User Input'!$B$23)+0.5*MAX(0,'User Input'!$B$23-Profiles!T113)+MAX(0,Profiles!U113-'User Input'!$B$24)+0.5*MAX(0,'User Input'!$B$24-Profiles!U113))/40)</f>
        <v/>
      </c>
      <c r="J112" s="36">
        <f>ROUND(60*(E112+F112+G112+IFERROR(VALUE(H112),(E112+F112+G112)/3))/4 + 0.4*I112,1)</f>
        <v/>
      </c>
      <c r="K112" s="36">
        <f>IF(OR(AND('User Input'!$B$6="M",Profiles!$AG113="M"),AND('User Input'!$B$6="F",Profiles!$AG113="F")),1,0)</f>
        <v/>
      </c>
      <c r="L112" s="36">
        <f>IF('User Input'!$B$27="Either",(IF(Profiles!V113&gt;=4,1,0.3)+IF(OR(Profiles!V113&lt;=2,ISNUMBER(SEARCH("Individual",Profiles!D113))),1,0.3))/2,IF('User Input'!$B$27="Team",IF(Profiles!V113&gt;=4,1,0.3),IF(OR(Profiles!V113&lt;=2,ISNUMBER(SEARCH("Individual",Profiles!D113))),1,0.3)))</f>
        <v/>
      </c>
      <c r="M112" s="36">
        <f>IF(IFERROR(MATCH(Profiles!W113,{"None","Light","Medium","Heavy"},0)-1,0)&lt;=IFERROR(MATCH('User Input'!$B$28,{"None","Light","Medium","Heavy"},0)-1,3),1,MAX(0,1-0.4*(IFERROR(MATCH(Profiles!W113,{"None","Light","Medium","Heavy"},0)-1,0)-IFERROR(MATCH('User Input'!$B$28,{"None","Light","Medium","Heavy"},0)-1,3))))</f>
        <v/>
      </c>
      <c r="N112" s="36">
        <f>IF('User Input'!$B$29="neutral",1,IF('User Input'!$B$29="essential",IF(ISNUMBER(SEARCH("Outdoor",Profiles!X113)),1,0.3),IF('User Input'!$B$29="nice",IF(ISNUMBER(SEARCH("Outdoor",Profiles!X113)),1,0.65),IF('User Input'!$B$29="indoor",IF(ISNUMBER(SEARCH("Indoor",Profiles!X113)),1,0.4),1))))</f>
        <v/>
      </c>
      <c r="O112" s="36">
        <f>IF('User Input'!$B$30="Yes",1,IF(Profiles!Y113="Yes",0,1))</f>
        <v/>
      </c>
      <c r="P112" s="36">
        <f>IF(IFERROR(MATCH(Profiles!Z113,{"Low","Medium","High"},0),2)&lt;=IFERROR(MATCH('User Input'!$B$31,{"Low","Medium","High"},0),2),1,MAX(0,1-0.4*(IFERROR(MATCH(Profiles!Z113,{"Low","Medium","High"},0),2)-IFERROR(MATCH('User Input'!$B$31,{"Low","Medium","High"},0),2))))</f>
        <v/>
      </c>
      <c r="Q112" s="36">
        <f>IF('User Input'!$B$32="Yes",IF(ISNUMBER(Profiles!AC113),Profiles!AC113/10,0.5),1)</f>
        <v/>
      </c>
      <c r="R112" s="36">
        <f>IF(OR(K112=0,O112=0),0,ROUND(MIN(100,100*(K112*0.1+L112*0.2+M112*0.2+N112*0.1+P112*0.15+Q112*0.25)*W112*X112*Y112*Z112),1))</f>
        <v/>
      </c>
      <c r="S112" s="36">
        <f>IF(R112=0,0,ROUND(0.5*J112+0.5*R112,1))</f>
        <v/>
      </c>
      <c r="T112" s="36">
        <f>J112-ROW()/1000000</f>
        <v/>
      </c>
      <c r="U112" s="36">
        <f>R112-ROW()/1000000</f>
        <v/>
      </c>
      <c r="V112" s="36">
        <f>S112-ROW()/1000000</f>
        <v/>
      </c>
      <c r="W112" s="36">
        <f>IF(OR(AND(OR(Profiles!D113="Team field",Profiles!D113="Team field contact",Profiles!D113="Team field stick"),'User Input'!$B$34="Yes"),AND(OR(Profiles!D113="Team court",Profiles!D113="Team court contact"),'User Input'!$B$35="Yes"),AND(Profiles!D113="Individual racquet",'User Input'!$B$36="Yes"),AND(OR(Profiles!D113="Combat striking",Profiles!D113="Combat grappling",Profiles!D113="Combat mixed"),'User Input'!$B$37="Yes"),AND(OR(Profiles!D113="Team water contact",Profiles!D113="Individual water"),'User Input'!$B$38="Yes"),AND(OR(Profiles!D113="Endurance individual",Profiles!D113="Endurance individual / pair",Profiles!D113="Endurance individual / pursuit",Profiles!D113="Endurance team / pair",Profiles!D113="Endurance multi"),'User Input'!$B$39="Yes"),AND(OR(Profiles!D113="Strength individual",Profiles!D113="Power-throw individual"),'User Input'!$B$40="Yes"),AND(OR(Profiles!D113="Individual technical",Profiles!D113="Individual aesthetic",Profiles!D113="Team precision"),'User Input'!$B$41="Yes")),1.15,1)</f>
        <v/>
      </c>
      <c r="X112" s="36">
        <f>IF('User Input'!$B$33&lt;&gt;"none",1,IF(IFERROR(VALUE(TRIM(MID(SUBSTITUTE(SUBSTITUTE(Profiles!AA113,"–","-"),"-",REPT(" ",100)),100,100)))&lt;=14,FALSE),0.7,1))</f>
        <v/>
      </c>
      <c r="Y112" s="36">
        <f>IF(OR('User Input'!$B$42="under30",'User Input'!$B$42=""),1,IF('User Input'!$B$42="30to45",IF((IFERROR(MATCH(Profiles!W113,{"None","Light","Medium","Heavy"},0)-1,0)+IFERROR(MATCH(Profiles!AB113,{"Low","Medium","High"},0)-1,0))&gt;=5,0.85,1),IF('User Input'!$B$42="46to60",IF((IFERROR(MATCH(Profiles!W113,{"None","Light","Medium","Heavy"},0)-1,0)+IFERROR(MATCH(Profiles!AB113,{"Low","Medium","High"},0)-1,0))&gt;=5,0.65,IF((IFERROR(MATCH(Profiles!W113,{"None","Light","Medium","Heavy"},0)-1,0)+IFERROR(MATCH(Profiles!AB113,{"Low","Medium","High"},0)-1,0))&gt;=4,0.8,IF((IFERROR(MATCH(Profiles!W113,{"None","Light","Medium","Heavy"},0)-1,0)+IFERROR(MATCH(Profiles!AB113,{"Low","Medium","High"},0)-1,0))&gt;=3,0.9,1))),IF((IFERROR(MATCH(Profiles!W113,{"None","Light","Medium","Heavy"},0)-1,0)+IFERROR(MATCH(Profiles!AB113,{"Low","Medium","High"},0)-1,0))&gt;=5,0.4,IF((IFERROR(MATCH(Profiles!W113,{"None","Light","Medium","Heavy"},0)-1,0)+IFERROR(MATCH(Profiles!AB113,{"Low","Medium","High"},0)-1,0))&gt;=4,0.6,IF((IFERROR(MATCH(Profiles!W113,{"None","Light","Medium","Heavy"},0)-1,0)+IFERROR(MATCH(Profiles!AB113,{"Low","Medium","High"},0)-1,0))&gt;=3,0.75,IF((IFERROR(MATCH(Profiles!W113,{"None","Light","Medium","Heavy"},0)-1,0)+IFERROR(MATCH(Profiles!AB113,{"Low","Medium","High"},0)-1,0))&gt;=2,0.85,1)))))))</f>
        <v/>
      </c>
      <c r="Z112" s="36">
        <f>IF(OR('User Input'!$B$43="none",'User Input'!$B$43=""),1,IF('User Input'!$B$43="minor",IF(IFERROR(MATCH(Profiles!W113,{"None","Light","Medium","Heavy"},0)-1,0)&gt;=3,0.7,IF(IFERROR(MATCH(Profiles!W113,{"None","Light","Medium","Heavy"},0)-1,0)&gt;=2,0.85,1)),IF('User Input'!$B$43="joint",IF(OR(IFERROR(MATCH(Profiles!W113,{"None","Light","Medium","Heavy"},0)-1,0)&gt;=3,IFERROR(MATCH(Profiles!AB113,{"Low","Medium","High"},0)-1,0)&gt;=2),0.5,IF(OR(IFERROR(MATCH(Profiles!W113,{"None","Light","Medium","Heavy"},0)-1,0)&gt;=2,IFERROR(MATCH(Profiles!AB113,{"Low","Medium","High"},0)-1,0)&gt;=1),0.75,1)),IF(OR(IFERROR(MATCH(Profiles!W113,{"None","Light","Medium","Heavy"},0)-1,0)&gt;=2,IFERROR(MATCH(Profiles!AB113,{"Low","Medium","High"},0)-1,0)&gt;=2),0.3,IF(OR(IFERROR(MATCH(Profiles!W113,{"None","Light","Medium","Heavy"},0)-1,0)&gt;=1,IFERROR(MATCH(Profiles!AB113,{"Low","Medium","High"},0)-1,0)&gt;=1),0.6,0.9)))))</f>
        <v/>
      </c>
    </row>
  </sheetData>
  <conditionalFormatting sqref="S2:S79">
    <cfRule type="colorScale" priority="2">
      <colorScale>
        <cfvo type="num" val="0"/>
        <cfvo type="num" val="50"/>
        <cfvo type="num" val="100"/>
        <color rgb="FFF8696B"/>
        <color rgb="FFFFEB84"/>
        <color rgb="FF63BE7B"/>
      </colorScale>
    </cfRule>
  </conditionalFormatting>
  <conditionalFormatting sqref="J2:J79">
    <cfRule type="colorScale" priority="3">
      <colorScale>
        <cfvo type="num" val="0"/>
        <cfvo type="num" val="50"/>
        <cfvo type="num" val="100"/>
        <color rgb="FFF8696B"/>
        <color rgb="FFFFEB84"/>
        <color rgb="FF63BE7B"/>
      </colorScale>
    </cfRule>
  </conditionalFormatting>
  <conditionalFormatting sqref="R2:R79">
    <cfRule type="colorScale" priority="4">
      <colorScale>
        <cfvo type="num" val="0"/>
        <cfvo type="num" val="50"/>
        <cfvo type="num" val="10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AG160"/>
  <sheetViews>
    <sheetView showFormulas="0" showGridLines="1" showRowColHeaders="1" showZeros="1" rightToLeft="0" tabSelected="0" showOutlineSymbols="1" defaultGridColor="1"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baseColWidth="8" defaultColWidth="8.6796875" defaultRowHeight="15" zeroHeight="0" outlineLevelRow="0"/>
  <cols>
    <col width="10" customWidth="1" style="36" min="1" max="1"/>
    <col width="22" customWidth="1" style="36" min="2" max="3"/>
    <col width="14" customWidth="1" style="36" min="4" max="4"/>
    <col width="12" customWidth="1" style="36" min="5" max="5"/>
    <col width="10" customWidth="1" style="36" min="6" max="6"/>
    <col width="12" customWidth="1" style="36" min="7" max="7"/>
    <col width="10" customWidth="1" style="36" min="8" max="9"/>
    <col width="12" customWidth="1" style="36" min="10" max="10"/>
    <col width="14" customWidth="1" style="36" min="11" max="12"/>
    <col width="9" customWidth="1" style="36" min="13" max="21"/>
    <col width="10" customWidth="1" style="36" min="22" max="22"/>
    <col width="12" customWidth="1" style="36" min="23" max="23"/>
    <col width="14" customWidth="1" style="36" min="24" max="24"/>
    <col width="10" customWidth="1" style="36" min="25" max="25"/>
    <col width="12" customWidth="1" style="36" min="26" max="27"/>
    <col width="10" customWidth="1" style="36" min="28" max="28"/>
    <col width="12" customWidth="1" style="36" min="29" max="29"/>
    <col width="14" customWidth="1" style="36" min="30" max="30"/>
    <col width="22" customWidth="1" style="36" min="31" max="31"/>
    <col width="40" customWidth="1" style="36" min="32" max="32"/>
    <col width="14" customWidth="1" style="36" min="33" max="33"/>
  </cols>
  <sheetData>
    <row r="1" ht="25.5" customHeight="1" s="37">
      <c r="A1" s="62" t="inlineStr">
        <is>
          <t>Identity</t>
        </is>
      </c>
      <c r="B1" s="63" t="n"/>
      <c r="C1" s="63" t="n"/>
      <c r="D1" s="64" t="n"/>
      <c r="E1" s="65" t="inlineStr">
        <is>
          <t>Physical profile (male elite)</t>
        </is>
      </c>
      <c r="F1" s="63" t="n"/>
      <c r="G1" s="63" t="n"/>
      <c r="H1" s="63" t="n"/>
      <c r="I1" s="63" t="n"/>
      <c r="J1" s="63" t="n"/>
      <c r="K1" s="63" t="n"/>
      <c r="L1" s="64" t="n"/>
      <c r="M1" s="66" t="inlineStr">
        <is>
          <t>Performance profile (0–10 demand)</t>
        </is>
      </c>
      <c r="N1" s="63" t="n"/>
      <c r="O1" s="63" t="n"/>
      <c r="P1" s="63" t="n"/>
      <c r="Q1" s="63" t="n"/>
      <c r="R1" s="63" t="n"/>
      <c r="S1" s="63" t="n"/>
      <c r="T1" s="63" t="n"/>
      <c r="U1" s="64" t="n"/>
      <c r="V1" s="67" t="inlineStr">
        <is>
          <t>Categorical attributes</t>
        </is>
      </c>
      <c r="W1" s="63" t="n"/>
      <c r="X1" s="63" t="n"/>
      <c r="Y1" s="63" t="n"/>
      <c r="Z1" s="63" t="n"/>
      <c r="AA1" s="63" t="n"/>
      <c r="AB1" s="64" t="n"/>
      <c r="AC1" s="68" t="inlineStr">
        <is>
          <t>Ireland market</t>
        </is>
      </c>
      <c r="AD1" s="64" t="n"/>
      <c r="AE1" s="69" t="inlineStr">
        <is>
          <t>Sources &amp; notes</t>
        </is>
      </c>
      <c r="AF1" s="64" t="n"/>
      <c r="AG1" s="62" t="inlineStr">
        <is>
          <t>Sex</t>
        </is>
      </c>
    </row>
    <row r="2" ht="60" customHeight="1" s="37">
      <c r="A2" s="53" t="inlineStr">
        <is>
          <t>Sport ID</t>
        </is>
      </c>
      <c r="B2" s="53" t="inlineStr">
        <is>
          <t>Sport</t>
        </is>
      </c>
      <c r="C2" s="53" t="inlineStr">
        <is>
          <t>Position / Discipline</t>
        </is>
      </c>
      <c r="D2" s="53" t="inlineStr">
        <is>
          <t>Category</t>
        </is>
      </c>
      <c r="E2" s="53" t="inlineStr">
        <is>
          <t>Height mean (cm)</t>
        </is>
      </c>
      <c r="F2" s="53" t="inlineStr">
        <is>
          <t>Height SD (cm)</t>
        </is>
      </c>
      <c r="G2" s="53" t="inlineStr">
        <is>
          <t>Weight mean (kg)</t>
        </is>
      </c>
      <c r="H2" s="53" t="inlineStr">
        <is>
          <t>Weight SD (kg)</t>
        </is>
      </c>
      <c r="I2" s="53" t="inlineStr">
        <is>
          <t>BMI mean</t>
        </is>
      </c>
      <c r="J2" s="53" t="inlineStr">
        <is>
          <t>Body fat % mean</t>
        </is>
      </c>
      <c r="K2" s="53" t="inlineStr">
        <is>
          <t>Wingspan / height ratio</t>
        </is>
      </c>
      <c r="L2" s="53" t="inlineStr">
        <is>
          <t>Sitting-height / stature ratio</t>
        </is>
      </c>
      <c r="M2" s="53" t="inlineStr">
        <is>
          <t>Aerobic</t>
        </is>
      </c>
      <c r="N2" s="53" t="inlineStr">
        <is>
          <t>Anaerobic</t>
        </is>
      </c>
      <c r="O2" s="53" t="inlineStr">
        <is>
          <t>Max strength</t>
        </is>
      </c>
      <c r="P2" s="53" t="inlineStr">
        <is>
          <t>Power / explosive</t>
        </is>
      </c>
      <c r="Q2" s="53" t="inlineStr">
        <is>
          <t>Speed</t>
        </is>
      </c>
      <c r="R2" s="53" t="inlineStr">
        <is>
          <t>Endurance</t>
        </is>
      </c>
      <c r="S2" s="53" t="inlineStr">
        <is>
          <t>Flexibility</t>
        </is>
      </c>
      <c r="T2" s="53" t="inlineStr">
        <is>
          <t>Coordination / skill</t>
        </is>
      </c>
      <c r="U2" s="53" t="inlineStr">
        <is>
          <t>Reaction time</t>
        </is>
      </c>
      <c r="V2" s="53" t="inlineStr">
        <is>
          <t>Team size</t>
        </is>
      </c>
      <c r="W2" s="53" t="inlineStr">
        <is>
          <t>Contact level</t>
        </is>
      </c>
      <c r="X2" s="53" t="inlineStr">
        <is>
          <t>Environment</t>
        </is>
      </c>
      <c r="Y2" s="53" t="inlineStr">
        <is>
          <t>Water-based</t>
        </is>
      </c>
      <c r="Z2" s="53" t="inlineStr">
        <is>
          <t>Equipment cost</t>
        </is>
      </c>
      <c r="AA2" s="53" t="inlineStr">
        <is>
          <t>Typical entry age</t>
        </is>
      </c>
      <c r="AB2" s="53" t="inlineStr">
        <is>
          <t>Injury risk</t>
        </is>
      </c>
      <c r="AC2" s="53" t="inlineStr">
        <is>
          <t>Accessibility (1–10)</t>
        </is>
      </c>
      <c r="AD2" s="53" t="inlineStr">
        <is>
          <t>Local clubs prevalent</t>
        </is>
      </c>
      <c r="AE2" s="53" t="inlineStr">
        <is>
          <t>Primary Source IDs</t>
        </is>
      </c>
      <c r="AF2" s="53" t="inlineStr">
        <is>
          <t>Notes</t>
        </is>
      </c>
      <c r="AG2" s="53" t="inlineStr">
        <is>
          <t>Sex (M / F / Both)</t>
        </is>
      </c>
    </row>
    <row r="3" ht="63.75" customHeight="1" s="37">
      <c r="A3" s="50" t="inlineStr">
        <is>
          <t>SP01</t>
        </is>
      </c>
      <c r="B3" s="50" t="inlineStr">
        <is>
          <t>Soccer (football)</t>
        </is>
      </c>
      <c r="C3" s="50" t="inlineStr">
        <is>
          <t>Outfield (all)</t>
        </is>
      </c>
      <c r="D3" s="50" t="inlineStr">
        <is>
          <t>Team field</t>
        </is>
      </c>
      <c r="E3" s="50" t="n">
        <v>180</v>
      </c>
      <c r="F3" s="50" t="n">
        <v>6</v>
      </c>
      <c r="G3" s="50" t="n">
        <v>76</v>
      </c>
      <c r="H3" s="50" t="n">
        <v>7</v>
      </c>
      <c r="I3" s="50" t="n">
        <v>23.4</v>
      </c>
      <c r="J3" s="50" t="n">
        <v>11</v>
      </c>
      <c r="K3" s="50" t="n"/>
      <c r="L3" s="50" t="n"/>
      <c r="M3" s="50" t="n">
        <v>8</v>
      </c>
      <c r="N3" s="50" t="n">
        <v>7</v>
      </c>
      <c r="O3" s="50" t="n">
        <v>5</v>
      </c>
      <c r="P3" s="50" t="n">
        <v>7</v>
      </c>
      <c r="Q3" s="50" t="n">
        <v>8</v>
      </c>
      <c r="R3" s="50" t="n">
        <v>8</v>
      </c>
      <c r="S3" s="50" t="n">
        <v>5</v>
      </c>
      <c r="T3" s="50" t="n">
        <v>8</v>
      </c>
      <c r="U3" s="50" t="n">
        <v>7</v>
      </c>
      <c r="V3" s="50" t="n">
        <v>11</v>
      </c>
      <c r="W3" s="50" t="inlineStr">
        <is>
          <t>Medium</t>
        </is>
      </c>
      <c r="X3" s="50" t="inlineStr">
        <is>
          <t>Outdoor</t>
        </is>
      </c>
      <c r="Y3" s="50" t="inlineStr">
        <is>
          <t>No</t>
        </is>
      </c>
      <c r="Z3" s="50" t="inlineStr">
        <is>
          <t>Low</t>
        </is>
      </c>
      <c r="AA3" s="50" t="inlineStr">
        <is>
          <t>5–8</t>
        </is>
      </c>
      <c r="AB3" s="50" t="inlineStr">
        <is>
          <t>Medium</t>
        </is>
      </c>
      <c r="AC3" s="50" t="n">
        <v>10</v>
      </c>
      <c r="AD3" s="50" t="inlineStr">
        <is>
          <t>Yes</t>
        </is>
      </c>
      <c r="AE3" s="50" t="inlineStr">
        <is>
          <t>S01, S02</t>
        </is>
      </c>
      <c r="AF3" s="50" t="inlineStr">
        <is>
          <t>Goalkeepers significantly taller/heavier than outfield; midfielders leanest. Profile here is the outfield mean across La Liga and broader European elite samples.</t>
        </is>
      </c>
      <c r="AG3" s="50" t="inlineStr">
        <is>
          <t>M</t>
        </is>
      </c>
    </row>
    <row r="4" ht="63.75" customHeight="1" s="37">
      <c r="A4" s="50" t="inlineStr">
        <is>
          <t>SP01b</t>
        </is>
      </c>
      <c r="B4" s="50" t="inlineStr">
        <is>
          <t>Soccer (football)</t>
        </is>
      </c>
      <c r="C4" s="50" t="inlineStr">
        <is>
          <t>Goalkeeper</t>
        </is>
      </c>
      <c r="D4" s="50" t="inlineStr">
        <is>
          <t>Team field</t>
        </is>
      </c>
      <c r="E4" s="50" t="n">
        <v>188</v>
      </c>
      <c r="F4" s="50" t="n">
        <v>4</v>
      </c>
      <c r="G4" s="50" t="n">
        <v>84</v>
      </c>
      <c r="H4" s="50" t="n">
        <v>6</v>
      </c>
      <c r="I4" s="50" t="n">
        <v>23.8</v>
      </c>
      <c r="J4" s="50" t="n">
        <v>12</v>
      </c>
      <c r="K4" s="50" t="n"/>
      <c r="L4" s="50" t="n"/>
      <c r="M4" s="50" t="n">
        <v>5</v>
      </c>
      <c r="N4" s="50" t="n">
        <v>6</v>
      </c>
      <c r="O4" s="50" t="n">
        <v>6</v>
      </c>
      <c r="P4" s="50" t="n">
        <v>8</v>
      </c>
      <c r="Q4" s="50" t="n">
        <v>6</v>
      </c>
      <c r="R4" s="50" t="n">
        <v>5</v>
      </c>
      <c r="S4" s="50" t="n">
        <v>6</v>
      </c>
      <c r="T4" s="50" t="n">
        <v>8</v>
      </c>
      <c r="U4" s="50" t="n">
        <v>9</v>
      </c>
      <c r="V4" s="50" t="n">
        <v>11</v>
      </c>
      <c r="W4" s="50" t="inlineStr">
        <is>
          <t>Low</t>
        </is>
      </c>
      <c r="X4" s="50" t="inlineStr">
        <is>
          <t>Outdoor</t>
        </is>
      </c>
      <c r="Y4" s="50" t="inlineStr">
        <is>
          <t>No</t>
        </is>
      </c>
      <c r="Z4" s="50" t="inlineStr">
        <is>
          <t>Low</t>
        </is>
      </c>
      <c r="AA4" s="50" t="inlineStr">
        <is>
          <t>8–12</t>
        </is>
      </c>
      <c r="AB4" s="50" t="inlineStr">
        <is>
          <t>Medium</t>
        </is>
      </c>
      <c r="AC4" s="50" t="n">
        <v>10</v>
      </c>
      <c r="AD4" s="50" t="inlineStr">
        <is>
          <t>Yes</t>
        </is>
      </c>
      <c r="AE4" s="50" t="inlineStr">
        <is>
          <t>S02</t>
        </is>
      </c>
      <c r="AF4" s="50" t="inlineStr">
        <is>
          <t>Goalkeepers 80.2 ± 3.2 kg in Spanish La Liga sample (S02); reaction time and aerial presence dominate vs outfield demands.</t>
        </is>
      </c>
      <c r="AG4" s="50" t="inlineStr">
        <is>
          <t>M</t>
        </is>
      </c>
    </row>
    <row r="5" ht="63.75" customHeight="1" s="37">
      <c r="A5" s="50" t="inlineStr">
        <is>
          <t>SP02</t>
        </is>
      </c>
      <c r="B5" s="50" t="inlineStr">
        <is>
          <t>Basketball</t>
        </is>
      </c>
      <c r="C5" s="50" t="inlineStr">
        <is>
          <t>All positions (NBA mean)</t>
        </is>
      </c>
      <c r="D5" s="50" t="inlineStr">
        <is>
          <t>Team court</t>
        </is>
      </c>
      <c r="E5" s="50" t="n">
        <v>198.6</v>
      </c>
      <c r="F5" s="50" t="n">
        <v>9</v>
      </c>
      <c r="G5" s="50" t="n">
        <v>100</v>
      </c>
      <c r="H5" s="50" t="n">
        <v>12</v>
      </c>
      <c r="I5" s="50" t="n">
        <v>25.3</v>
      </c>
      <c r="J5" s="50" t="n">
        <v>11</v>
      </c>
      <c r="K5" s="50" t="n">
        <v>1.063</v>
      </c>
      <c r="L5" s="50" t="n"/>
      <c r="M5" s="50" t="n">
        <v>7</v>
      </c>
      <c r="N5" s="50" t="n">
        <v>8</v>
      </c>
      <c r="O5" s="50" t="n">
        <v>6</v>
      </c>
      <c r="P5" s="50" t="n">
        <v>9</v>
      </c>
      <c r="Q5" s="50" t="n">
        <v>8</v>
      </c>
      <c r="R5" s="50" t="n">
        <v>7</v>
      </c>
      <c r="S5" s="50" t="n">
        <v>5</v>
      </c>
      <c r="T5" s="50" t="n">
        <v>8</v>
      </c>
      <c r="U5" s="50" t="n">
        <v>8</v>
      </c>
      <c r="V5" s="50" t="n">
        <v>5</v>
      </c>
      <c r="W5" s="50" t="inlineStr">
        <is>
          <t>Low</t>
        </is>
      </c>
      <c r="X5" s="50" t="inlineStr">
        <is>
          <t>Indoor</t>
        </is>
      </c>
      <c r="Y5" s="50" t="inlineStr">
        <is>
          <t>No</t>
        </is>
      </c>
      <c r="Z5" s="50" t="inlineStr">
        <is>
          <t>Low</t>
        </is>
      </c>
      <c r="AA5" s="50" t="inlineStr">
        <is>
          <t>6–10</t>
        </is>
      </c>
      <c r="AB5" s="50" t="inlineStr">
        <is>
          <t>Medium</t>
        </is>
      </c>
      <c r="AC5" s="50" t="n">
        <v>7</v>
      </c>
      <c r="AD5" s="50" t="inlineStr">
        <is>
          <t>Yes</t>
        </is>
      </c>
      <c r="AE5" s="50" t="inlineStr">
        <is>
          <t>S04, S05, S06</t>
        </is>
      </c>
      <c r="AF5" s="50" t="inlineStr">
        <is>
          <t>NBA league-wide mean height stable at ~6'6" / 198.6 cm since 1987. Wingspan typically 2–6 inches greater than height; mean wingspan/height ratio 1.063.</t>
        </is>
      </c>
      <c r="AG5" s="50" t="inlineStr">
        <is>
          <t>M</t>
        </is>
      </c>
    </row>
    <row r="6" ht="63.75" customHeight="1" s="37">
      <c r="A6" s="50" t="inlineStr">
        <is>
          <t>SP02b</t>
        </is>
      </c>
      <c r="B6" s="50" t="inlineStr">
        <is>
          <t>Basketball</t>
        </is>
      </c>
      <c r="C6" s="50" t="inlineStr">
        <is>
          <t>Guards (PG/SG)</t>
        </is>
      </c>
      <c r="D6" s="50" t="inlineStr">
        <is>
          <t>Team court</t>
        </is>
      </c>
      <c r="E6" s="50" t="n">
        <v>191</v>
      </c>
      <c r="F6" s="50" t="n">
        <v>5</v>
      </c>
      <c r="G6" s="50" t="n">
        <v>88</v>
      </c>
      <c r="H6" s="50" t="n">
        <v>8</v>
      </c>
      <c r="I6" s="50" t="n">
        <v>24.1</v>
      </c>
      <c r="J6" s="50" t="n">
        <v>9</v>
      </c>
      <c r="K6" s="50" t="n">
        <v>1.06</v>
      </c>
      <c r="L6" s="50" t="n"/>
      <c r="M6" s="50" t="n">
        <v>7</v>
      </c>
      <c r="N6" s="50" t="n">
        <v>9</v>
      </c>
      <c r="O6" s="50" t="n">
        <v>5</v>
      </c>
      <c r="P6" s="50" t="n">
        <v>9</v>
      </c>
      <c r="Q6" s="50" t="n">
        <v>9</v>
      </c>
      <c r="R6" s="50" t="n">
        <v>7</v>
      </c>
      <c r="S6" s="50" t="n">
        <v>5</v>
      </c>
      <c r="T6" s="50" t="n">
        <v>9</v>
      </c>
      <c r="U6" s="50" t="n">
        <v>9</v>
      </c>
      <c r="V6" s="50" t="n">
        <v>5</v>
      </c>
      <c r="W6" s="50" t="inlineStr">
        <is>
          <t>Low</t>
        </is>
      </c>
      <c r="X6" s="50" t="inlineStr">
        <is>
          <t>Indoor</t>
        </is>
      </c>
      <c r="Y6" s="50" t="inlineStr">
        <is>
          <t>No</t>
        </is>
      </c>
      <c r="Z6" s="50" t="inlineStr">
        <is>
          <t>Low</t>
        </is>
      </c>
      <c r="AA6" s="50" t="inlineStr">
        <is>
          <t>6–10</t>
        </is>
      </c>
      <c r="AB6" s="50" t="inlineStr">
        <is>
          <t>Medium</t>
        </is>
      </c>
      <c r="AC6" s="50" t="n">
        <v>7</v>
      </c>
      <c r="AD6" s="50" t="inlineStr">
        <is>
          <t>Yes</t>
        </is>
      </c>
      <c r="AE6" s="50" t="inlineStr">
        <is>
          <t>S03, S04</t>
        </is>
      </c>
      <c r="AF6" s="50" t="inlineStr">
        <is>
          <t>Guards lighter, leaner, more agile; perimeter shooting and ball-handling dominant.</t>
        </is>
      </c>
      <c r="AG6" s="50" t="inlineStr">
        <is>
          <t>M</t>
        </is>
      </c>
    </row>
    <row r="7" ht="63.75" customHeight="1" s="37">
      <c r="A7" s="50" t="inlineStr">
        <is>
          <t>SP03</t>
        </is>
      </c>
      <c r="B7" s="50" t="inlineStr">
        <is>
          <t>Distance running</t>
        </is>
      </c>
      <c r="C7" s="50" t="inlineStr">
        <is>
          <t>Long-distance (marathon)</t>
        </is>
      </c>
      <c r="D7" s="50" t="inlineStr">
        <is>
          <t>Endurance individual</t>
        </is>
      </c>
      <c r="E7" s="50" t="n">
        <v>177</v>
      </c>
      <c r="F7" s="50" t="n">
        <v>5</v>
      </c>
      <c r="G7" s="50" t="n">
        <v>64</v>
      </c>
      <c r="H7" s="50" t="n">
        <v>5</v>
      </c>
      <c r="I7" s="50" t="n">
        <v>20.5</v>
      </c>
      <c r="J7" s="50" t="n">
        <v>7</v>
      </c>
      <c r="K7" s="50" t="n"/>
      <c r="L7" s="50" t="n"/>
      <c r="M7" s="50" t="n">
        <v>10</v>
      </c>
      <c r="N7" s="50" t="n">
        <v>3</v>
      </c>
      <c r="O7" s="50" t="n">
        <v>2</v>
      </c>
      <c r="P7" s="50" t="n">
        <v>3</v>
      </c>
      <c r="Q7" s="50" t="n">
        <v>4</v>
      </c>
      <c r="R7" s="50" t="n">
        <v>10</v>
      </c>
      <c r="S7" s="50" t="n">
        <v>5</v>
      </c>
      <c r="T7" s="50" t="n">
        <v>4</v>
      </c>
      <c r="U7" s="50" t="n">
        <v>3</v>
      </c>
      <c r="V7" s="50" t="n">
        <v>1</v>
      </c>
      <c r="W7" s="50" t="inlineStr">
        <is>
          <t>None</t>
        </is>
      </c>
      <c r="X7" s="50" t="inlineStr">
        <is>
          <t>Outdoor</t>
        </is>
      </c>
      <c r="Y7" s="50" t="inlineStr">
        <is>
          <t>No</t>
        </is>
      </c>
      <c r="Z7" s="50" t="inlineStr">
        <is>
          <t>Low</t>
        </is>
      </c>
      <c r="AA7" s="50" t="inlineStr">
        <is>
          <t>Any</t>
        </is>
      </c>
      <c r="AB7" s="50" t="inlineStr">
        <is>
          <t>Medium</t>
        </is>
      </c>
      <c r="AC7" s="50" t="n">
        <v>10</v>
      </c>
      <c r="AD7" s="50" t="inlineStr">
        <is>
          <t>Yes</t>
        </is>
      </c>
      <c r="AE7" s="50" t="inlineStr">
        <is>
          <t>S07, S08, S09</t>
        </is>
      </c>
      <c r="AF7" s="50" t="inlineStr">
        <is>
          <t>Elite male marathoners span 168–188 cm / 57–75 kg, BMI 19–23 (S08). VO2max ~70–80 ml/kg/min in elite (S09). Longer legs relative to trunk improve running economy.</t>
        </is>
      </c>
      <c r="AG7" s="50" t="inlineStr">
        <is>
          <t>M</t>
        </is>
      </c>
    </row>
    <row r="8" ht="63.75" customHeight="1" s="37">
      <c r="A8" s="50" t="inlineStr">
        <is>
          <t>SP04</t>
        </is>
      </c>
      <c r="B8" s="50" t="inlineStr">
        <is>
          <t>Road cycling</t>
        </is>
      </c>
      <c r="C8" s="50" t="inlineStr">
        <is>
          <t>Grand Tour all-rounder</t>
        </is>
      </c>
      <c r="D8" s="50" t="inlineStr">
        <is>
          <t>Endurance individual</t>
        </is>
      </c>
      <c r="E8" s="50" t="n">
        <v>180</v>
      </c>
      <c r="F8" s="50" t="n">
        <v>5</v>
      </c>
      <c r="G8" s="50" t="n">
        <v>70</v>
      </c>
      <c r="H8" s="50" t="n">
        <v>5</v>
      </c>
      <c r="I8" s="50" t="n">
        <v>21.4</v>
      </c>
      <c r="J8" s="50" t="n">
        <v>8</v>
      </c>
      <c r="K8" s="50" t="n"/>
      <c r="L8" s="50" t="n"/>
      <c r="M8" s="50" t="n">
        <v>10</v>
      </c>
      <c r="N8" s="50" t="n">
        <v>6</v>
      </c>
      <c r="O8" s="50" t="n">
        <v>5</v>
      </c>
      <c r="P8" s="50" t="n">
        <v>7</v>
      </c>
      <c r="Q8" s="50" t="n">
        <v>6</v>
      </c>
      <c r="R8" s="50" t="n">
        <v>10</v>
      </c>
      <c r="S8" s="50" t="n">
        <v>4</v>
      </c>
      <c r="T8" s="50" t="n">
        <v>6</v>
      </c>
      <c r="U8" s="50" t="n">
        <v>5</v>
      </c>
      <c r="V8" s="50" t="n">
        <v>1</v>
      </c>
      <c r="W8" s="50" t="inlineStr">
        <is>
          <t>None</t>
        </is>
      </c>
      <c r="X8" s="50" t="inlineStr">
        <is>
          <t>Outdoor</t>
        </is>
      </c>
      <c r="Y8" s="50" t="inlineStr">
        <is>
          <t>No</t>
        </is>
      </c>
      <c r="Z8" s="50" t="inlineStr">
        <is>
          <t>High</t>
        </is>
      </c>
      <c r="AA8" s="50" t="inlineStr">
        <is>
          <t>Any</t>
        </is>
      </c>
      <c r="AB8" s="50" t="inlineStr">
        <is>
          <t>Medium</t>
        </is>
      </c>
      <c r="AC8" s="50" t="n">
        <v>9</v>
      </c>
      <c r="AD8" s="50" t="inlineStr">
        <is>
          <t>Yes</t>
        </is>
      </c>
      <c r="AE8" s="50" t="inlineStr">
        <is>
          <t>S10, S11, S12</t>
        </is>
      </c>
      <c r="AF8" s="50" t="inlineStr">
        <is>
          <t>Giro d'Italia 2013 elite mean BM 70.5 kg / BMI 21.4 (S10). Climbers leaner (~60–68 kg). Track sprinters heavier and more muscular (S12).</t>
        </is>
      </c>
      <c r="AG8" s="50" t="inlineStr">
        <is>
          <t>M</t>
        </is>
      </c>
    </row>
    <row r="9" ht="63.75" customHeight="1" s="37">
      <c r="A9" s="50" t="inlineStr">
        <is>
          <t>SP05</t>
        </is>
      </c>
      <c r="B9" s="50" t="inlineStr">
        <is>
          <t>Swimming</t>
        </is>
      </c>
      <c r="C9" s="50" t="inlineStr">
        <is>
          <t>Pool (freestyle)</t>
        </is>
      </c>
      <c r="D9" s="50" t="inlineStr">
        <is>
          <t>Endurance individual</t>
        </is>
      </c>
      <c r="E9" s="50" t="n">
        <v>184</v>
      </c>
      <c r="F9" s="50" t="n">
        <v>6</v>
      </c>
      <c r="G9" s="50" t="n">
        <v>78</v>
      </c>
      <c r="H9" s="50" t="n">
        <v>6</v>
      </c>
      <c r="I9" s="50" t="n">
        <v>23.1</v>
      </c>
      <c r="J9" s="50" t="n">
        <v>8</v>
      </c>
      <c r="K9" s="50" t="n">
        <v>1.04</v>
      </c>
      <c r="L9" s="50" t="n"/>
      <c r="M9" s="50" t="n">
        <v>9</v>
      </c>
      <c r="N9" s="50" t="n">
        <v>8</v>
      </c>
      <c r="O9" s="50" t="n">
        <v>6</v>
      </c>
      <c r="P9" s="50" t="n">
        <v>8</v>
      </c>
      <c r="Q9" s="50" t="n">
        <v>8</v>
      </c>
      <c r="R9" s="50" t="n">
        <v>9</v>
      </c>
      <c r="S9" s="50" t="n">
        <v>8</v>
      </c>
      <c r="T9" s="50" t="n">
        <v>7</v>
      </c>
      <c r="U9" s="50" t="n">
        <v>6</v>
      </c>
      <c r="V9" s="50" t="n">
        <v>1</v>
      </c>
      <c r="W9" s="50" t="inlineStr">
        <is>
          <t>None</t>
        </is>
      </c>
      <c r="X9" s="50" t="inlineStr">
        <is>
          <t>Indoor</t>
        </is>
      </c>
      <c r="Y9" s="50" t="inlineStr">
        <is>
          <t>Yes</t>
        </is>
      </c>
      <c r="Z9" s="50" t="inlineStr">
        <is>
          <t>Low</t>
        </is>
      </c>
      <c r="AA9" s="50" t="inlineStr">
        <is>
          <t>4–8</t>
        </is>
      </c>
      <c r="AB9" s="50" t="inlineStr">
        <is>
          <t>Low</t>
        </is>
      </c>
      <c r="AC9" s="50" t="n">
        <v>8</v>
      </c>
      <c r="AD9" s="50" t="inlineStr">
        <is>
          <t>Yes</t>
        </is>
      </c>
      <c r="AE9" s="50" t="inlineStr">
        <is>
          <t>S13, S14, S15</t>
        </is>
      </c>
      <c r="AF9" s="50" t="inlineStr">
        <is>
          <t>Modern male elite mean 183.8 cm / 78.4 kg / ~8% BF (S13). Long wingspan, long torso, large hands/feet typical. Phelps illustrative: 193 cm height, 201 cm wingspan.</t>
        </is>
      </c>
      <c r="AG9" s="50" t="inlineStr">
        <is>
          <t>M</t>
        </is>
      </c>
    </row>
    <row r="10" ht="63.75" customHeight="1" s="37">
      <c r="A10" s="50" t="inlineStr">
        <is>
          <t>SP06</t>
        </is>
      </c>
      <c r="B10" s="50" t="inlineStr">
        <is>
          <t>Rugby union</t>
        </is>
      </c>
      <c r="C10" s="50" t="inlineStr">
        <is>
          <t>Forwards (tight five &amp; loose)</t>
        </is>
      </c>
      <c r="D10" s="50" t="inlineStr">
        <is>
          <t>Team field contact</t>
        </is>
      </c>
      <c r="E10" s="50" t="n">
        <v>189</v>
      </c>
      <c r="F10" s="50" t="n">
        <v>5</v>
      </c>
      <c r="G10" s="50" t="n">
        <v>111</v>
      </c>
      <c r="H10" s="50" t="n">
        <v>9</v>
      </c>
      <c r="I10" s="50" t="n">
        <v>31</v>
      </c>
      <c r="J10" s="50" t="n">
        <v>15</v>
      </c>
      <c r="K10" s="50" t="n"/>
      <c r="L10" s="50" t="n"/>
      <c r="M10" s="50" t="n">
        <v>6</v>
      </c>
      <c r="N10" s="50" t="n">
        <v>8</v>
      </c>
      <c r="O10" s="50" t="n">
        <v>10</v>
      </c>
      <c r="P10" s="50" t="n">
        <v>8</v>
      </c>
      <c r="Q10" s="50" t="n">
        <v>5</v>
      </c>
      <c r="R10" s="50" t="n">
        <v>6</v>
      </c>
      <c r="S10" s="50" t="n">
        <v>4</v>
      </c>
      <c r="T10" s="50" t="n">
        <v>7</v>
      </c>
      <c r="U10" s="50" t="n">
        <v>6</v>
      </c>
      <c r="V10" s="50" t="n">
        <v>15</v>
      </c>
      <c r="W10" s="50" t="inlineStr">
        <is>
          <t>Heavy</t>
        </is>
      </c>
      <c r="X10" s="50" t="inlineStr">
        <is>
          <t>Outdoor</t>
        </is>
      </c>
      <c r="Y10" s="50" t="inlineStr">
        <is>
          <t>No</t>
        </is>
      </c>
      <c r="Z10" s="50" t="inlineStr">
        <is>
          <t>Low</t>
        </is>
      </c>
      <c r="AA10" s="50" t="inlineStr">
        <is>
          <t>6–10</t>
        </is>
      </c>
      <c r="AB10" s="50" t="inlineStr">
        <is>
          <t>High</t>
        </is>
      </c>
      <c r="AC10" s="50" t="n">
        <v>9</v>
      </c>
      <c r="AD10" s="50" t="inlineStr">
        <is>
          <t>Yes</t>
        </is>
      </c>
      <c r="AE10" s="50" t="inlineStr">
        <is>
          <t>S16, S17</t>
        </is>
      </c>
      <c r="AF10" s="50" t="inlineStr">
        <is>
          <t>Brazier et al. (S16) review: RU forwards ~111 kg, BF ~15%. Back squat ~176 kg and bench ~131 kg in elite cohorts.</t>
        </is>
      </c>
      <c r="AG10" s="50" t="inlineStr">
        <is>
          <t>M</t>
        </is>
      </c>
    </row>
    <row r="11" ht="63.75" customHeight="1" s="37">
      <c r="A11" s="50" t="inlineStr">
        <is>
          <t>SP06b</t>
        </is>
      </c>
      <c r="B11" s="50" t="inlineStr">
        <is>
          <t>Rugby union</t>
        </is>
      </c>
      <c r="C11" s="50" t="inlineStr">
        <is>
          <t>Backs</t>
        </is>
      </c>
      <c r="D11" s="50" t="inlineStr">
        <is>
          <t>Team field contact</t>
        </is>
      </c>
      <c r="E11" s="50" t="n">
        <v>182</v>
      </c>
      <c r="F11" s="50" t="n">
        <v>5</v>
      </c>
      <c r="G11" s="50" t="n">
        <v>93</v>
      </c>
      <c r="H11" s="50" t="n">
        <v>7</v>
      </c>
      <c r="I11" s="50" t="n">
        <v>28.1</v>
      </c>
      <c r="J11" s="50" t="n">
        <v>12</v>
      </c>
      <c r="K11" s="50" t="n"/>
      <c r="L11" s="50" t="n"/>
      <c r="M11" s="50" t="n">
        <v>8</v>
      </c>
      <c r="N11" s="50" t="n">
        <v>9</v>
      </c>
      <c r="O11" s="50" t="n">
        <v>8</v>
      </c>
      <c r="P11" s="50" t="n">
        <v>9</v>
      </c>
      <c r="Q11" s="50" t="n">
        <v>9</v>
      </c>
      <c r="R11" s="50" t="n">
        <v>7</v>
      </c>
      <c r="S11" s="50" t="n">
        <v>5</v>
      </c>
      <c r="T11" s="50" t="n">
        <v>8</v>
      </c>
      <c r="U11" s="50" t="n">
        <v>8</v>
      </c>
      <c r="V11" s="50" t="n">
        <v>15</v>
      </c>
      <c r="W11" s="50" t="inlineStr">
        <is>
          <t>Heavy</t>
        </is>
      </c>
      <c r="X11" s="50" t="inlineStr">
        <is>
          <t>Outdoor</t>
        </is>
      </c>
      <c r="Y11" s="50" t="inlineStr">
        <is>
          <t>No</t>
        </is>
      </c>
      <c r="Z11" s="50" t="inlineStr">
        <is>
          <t>Low</t>
        </is>
      </c>
      <c r="AA11" s="50" t="inlineStr">
        <is>
          <t>6–10</t>
        </is>
      </c>
      <c r="AB11" s="50" t="inlineStr">
        <is>
          <t>High</t>
        </is>
      </c>
      <c r="AC11" s="50" t="n">
        <v>9</v>
      </c>
      <c r="AD11" s="50" t="inlineStr">
        <is>
          <t>Yes</t>
        </is>
      </c>
      <c r="AE11" s="50" t="inlineStr">
        <is>
          <t>S16, S17</t>
        </is>
      </c>
      <c r="AF11" s="50" t="inlineStr">
        <is>
          <t>Backs ~93 kg, BF ~12% (S16); faster (10 m ~1.77 s) and more aerobically capable than forwards but lighter and weaker absolutely.</t>
        </is>
      </c>
      <c r="AG11" s="50" t="inlineStr">
        <is>
          <t>M</t>
        </is>
      </c>
    </row>
    <row r="12" ht="63.75" customHeight="1" s="37">
      <c r="A12" s="50" t="inlineStr">
        <is>
          <t>SP07</t>
        </is>
      </c>
      <c r="B12" s="50" t="inlineStr">
        <is>
          <t>Gymnastics</t>
        </is>
      </c>
      <c r="C12" s="50" t="inlineStr">
        <is>
          <t>Female artistic / rhythmic (senior)</t>
        </is>
      </c>
      <c r="D12" s="50" t="inlineStr">
        <is>
          <t>Individual aesthetic</t>
        </is>
      </c>
      <c r="E12" s="50" t="n">
        <v>160</v>
      </c>
      <c r="F12" s="50" t="n">
        <v>6</v>
      </c>
      <c r="G12" s="50" t="n">
        <v>55</v>
      </c>
      <c r="H12" s="50" t="n">
        <v>5</v>
      </c>
      <c r="I12" s="50" t="n">
        <v>20.4</v>
      </c>
      <c r="J12" s="50" t="n">
        <v>14</v>
      </c>
      <c r="K12" s="50" t="n"/>
      <c r="L12" s="50" t="n"/>
      <c r="M12" s="50" t="n">
        <v>5</v>
      </c>
      <c r="N12" s="50" t="n">
        <v>7</v>
      </c>
      <c r="O12" s="50" t="n">
        <v>8</v>
      </c>
      <c r="P12" s="50" t="n">
        <v>10</v>
      </c>
      <c r="Q12" s="50" t="n">
        <v>6</v>
      </c>
      <c r="R12" s="50" t="n">
        <v>5</v>
      </c>
      <c r="S12" s="50" t="n">
        <v>10</v>
      </c>
      <c r="T12" s="50" t="n">
        <v>10</v>
      </c>
      <c r="U12" s="50" t="n">
        <v>8</v>
      </c>
      <c r="V12" s="50" t="n">
        <v>1</v>
      </c>
      <c r="W12" s="50" t="inlineStr">
        <is>
          <t>None</t>
        </is>
      </c>
      <c r="X12" s="50" t="inlineStr">
        <is>
          <t>Indoor</t>
        </is>
      </c>
      <c r="Y12" s="50" t="inlineStr">
        <is>
          <t>No</t>
        </is>
      </c>
      <c r="Z12" s="50" t="inlineStr">
        <is>
          <t>Medium</t>
        </is>
      </c>
      <c r="AA12" s="50" t="inlineStr">
        <is>
          <t>4–8</t>
        </is>
      </c>
      <c r="AB12" s="50" t="inlineStr">
        <is>
          <t>High</t>
        </is>
      </c>
      <c r="AC12" s="50" t="n">
        <v>6</v>
      </c>
      <c r="AD12" s="50" t="inlineStr">
        <is>
          <t>Some</t>
        </is>
      </c>
      <c r="AE12" s="50" t="inlineStr">
        <is>
          <t>S18, S19, S20</t>
        </is>
      </c>
      <c r="AF12" s="50" t="inlineStr">
        <is>
          <t>Slovenian high-performance female cohort 159.8 ± 6.2 cm / 54.8 ± 5.3 kg (S20). Spanish elite teens ~14% BF (S19). Tight height distribution — strong constraint.</t>
        </is>
      </c>
      <c r="AG12" s="50" t="inlineStr">
        <is>
          <t>F</t>
        </is>
      </c>
    </row>
    <row r="13" ht="63.75" customHeight="1" s="37">
      <c r="A13" s="50" t="inlineStr">
        <is>
          <t>SP08</t>
        </is>
      </c>
      <c r="B13" s="50" t="inlineStr">
        <is>
          <t>Rowing</t>
        </is>
      </c>
      <c r="C13" s="50" t="inlineStr">
        <is>
          <t>Heavyweight (sweep / sculls)</t>
        </is>
      </c>
      <c r="D13" s="50" t="inlineStr">
        <is>
          <t>Endurance team / pair</t>
        </is>
      </c>
      <c r="E13" s="50" t="n">
        <v>188</v>
      </c>
      <c r="F13" s="50" t="n">
        <v>5</v>
      </c>
      <c r="G13" s="50" t="n">
        <v>88</v>
      </c>
      <c r="H13" s="50" t="n">
        <v>6</v>
      </c>
      <c r="I13" s="50" t="n">
        <v>24.9</v>
      </c>
      <c r="J13" s="50" t="n">
        <v>9</v>
      </c>
      <c r="K13" s="50" t="n">
        <v>1.04</v>
      </c>
      <c r="L13" s="50" t="n"/>
      <c r="M13" s="50" t="n">
        <v>10</v>
      </c>
      <c r="N13" s="50" t="n">
        <v>8</v>
      </c>
      <c r="O13" s="50" t="n">
        <v>9</v>
      </c>
      <c r="P13" s="50" t="n">
        <v>8</v>
      </c>
      <c r="Q13" s="50" t="n">
        <v>4</v>
      </c>
      <c r="R13" s="50" t="n">
        <v>9</v>
      </c>
      <c r="S13" s="50" t="n">
        <v>5</v>
      </c>
      <c r="T13" s="50" t="n">
        <v>7</v>
      </c>
      <c r="U13" s="50" t="n">
        <v>5</v>
      </c>
      <c r="V13" s="50" t="n">
        <v>8</v>
      </c>
      <c r="W13" s="50" t="inlineStr">
        <is>
          <t>None</t>
        </is>
      </c>
      <c r="X13" s="50" t="inlineStr">
        <is>
          <t>Outdoor</t>
        </is>
      </c>
      <c r="Y13" s="50" t="inlineStr">
        <is>
          <t>Yes</t>
        </is>
      </c>
      <c r="Z13" s="50" t="inlineStr">
        <is>
          <t>High</t>
        </is>
      </c>
      <c r="AA13" s="50" t="inlineStr">
        <is>
          <t>12–16</t>
        </is>
      </c>
      <c r="AB13" s="50" t="inlineStr">
        <is>
          <t>Medium</t>
        </is>
      </c>
      <c r="AC13" s="50" t="n">
        <v>7</v>
      </c>
      <c r="AD13" s="50" t="inlineStr">
        <is>
          <t>Some</t>
        </is>
      </c>
      <c r="AE13" s="50" t="inlineStr">
        <is>
          <t>S21, S22</t>
        </is>
      </c>
      <c r="AF13" s="50" t="inlineStr">
        <is>
          <t>FISA Junior World Champs cohort: 187.4 ± 5.8 cm / 82.2 ± 7.4 kg (S21). Traditional senior rowers: wingspan 189 ± 5.8 cm, BF ~8% (S22). Long wingspan more predictive of performance than height alone.</t>
        </is>
      </c>
      <c r="AG13" s="50" t="inlineStr">
        <is>
          <t>M</t>
        </is>
      </c>
    </row>
    <row r="14" ht="63.75" customHeight="1" s="37">
      <c r="A14" s="50" t="inlineStr">
        <is>
          <t>SP09</t>
        </is>
      </c>
      <c r="B14" s="50" t="inlineStr">
        <is>
          <t>Tennis</t>
        </is>
      </c>
      <c r="C14" s="50" t="inlineStr">
        <is>
          <t>Singles (ATP)</t>
        </is>
      </c>
      <c r="D14" s="50" t="inlineStr">
        <is>
          <t>Individual racquet</t>
        </is>
      </c>
      <c r="E14" s="50" t="n">
        <v>186.9</v>
      </c>
      <c r="F14" s="50" t="n">
        <v>7.4</v>
      </c>
      <c r="G14" s="50" t="n">
        <v>81.59999999999999</v>
      </c>
      <c r="H14" s="50" t="n">
        <v>7.1</v>
      </c>
      <c r="I14" s="50" t="n">
        <v>23.4</v>
      </c>
      <c r="J14" s="50" t="n">
        <v>10</v>
      </c>
      <c r="K14" s="50" t="n"/>
      <c r="L14" s="50" t="n"/>
      <c r="M14" s="50" t="n">
        <v>8</v>
      </c>
      <c r="N14" s="50" t="n">
        <v>8</v>
      </c>
      <c r="O14" s="50" t="n">
        <v>6</v>
      </c>
      <c r="P14" s="50" t="n">
        <v>8</v>
      </c>
      <c r="Q14" s="50" t="n">
        <v>8</v>
      </c>
      <c r="R14" s="50" t="n">
        <v>8</v>
      </c>
      <c r="S14" s="50" t="n">
        <v>6</v>
      </c>
      <c r="T14" s="50" t="n">
        <v>9</v>
      </c>
      <c r="U14" s="50" t="n">
        <v>9</v>
      </c>
      <c r="V14" s="50" t="n">
        <v>1</v>
      </c>
      <c r="W14" s="50" t="inlineStr">
        <is>
          <t>None</t>
        </is>
      </c>
      <c r="X14" s="50" t="inlineStr">
        <is>
          <t>Outdoor / indoor</t>
        </is>
      </c>
      <c r="Y14" s="50" t="inlineStr">
        <is>
          <t>No</t>
        </is>
      </c>
      <c r="Z14" s="50" t="inlineStr">
        <is>
          <t>Medium</t>
        </is>
      </c>
      <c r="AA14" s="50" t="inlineStr">
        <is>
          <t>5–8</t>
        </is>
      </c>
      <c r="AB14" s="50" t="inlineStr">
        <is>
          <t>Medium</t>
        </is>
      </c>
      <c r="AC14" s="50" t="n">
        <v>8</v>
      </c>
      <c r="AD14" s="50" t="inlineStr">
        <is>
          <t>Yes</t>
        </is>
      </c>
      <c r="AE14" s="50" t="inlineStr">
        <is>
          <t>S23, S24</t>
        </is>
      </c>
      <c r="AF14" s="50" t="inlineStr">
        <is>
          <t>2019 Barcelona Open ATP players 186.9 ± 7.4 cm / 81.6 ± 7.1 kg (S24). Top-10 height range 175–198 cm (S23). Height correlates strongly with serve velocity.</t>
        </is>
      </c>
      <c r="AG14" s="50" t="inlineStr">
        <is>
          <t>M</t>
        </is>
      </c>
    </row>
    <row r="15" ht="63.75" customHeight="1" s="37">
      <c r="A15" s="50" t="inlineStr">
        <is>
          <t>SP10</t>
        </is>
      </c>
      <c r="B15" s="50" t="inlineStr">
        <is>
          <t>Gaelic football</t>
        </is>
      </c>
      <c r="C15" s="50" t="inlineStr">
        <is>
          <t>Inter-county (all positions)</t>
        </is>
      </c>
      <c r="D15" s="50" t="inlineStr">
        <is>
          <t>Team field</t>
        </is>
      </c>
      <c r="E15" s="50" t="n">
        <v>183</v>
      </c>
      <c r="F15" s="50" t="n">
        <v>4</v>
      </c>
      <c r="G15" s="50" t="n">
        <v>82</v>
      </c>
      <c r="H15" s="50" t="n">
        <v>5</v>
      </c>
      <c r="I15" s="50" t="n">
        <v>24.5</v>
      </c>
      <c r="J15" s="50" t="n">
        <v>12</v>
      </c>
      <c r="K15" s="50" t="n"/>
      <c r="L15" s="50" t="n"/>
      <c r="M15" s="50" t="n">
        <v>9</v>
      </c>
      <c r="N15" s="50" t="n">
        <v>8</v>
      </c>
      <c r="O15" s="50" t="n">
        <v>7</v>
      </c>
      <c r="P15" s="50" t="n">
        <v>8</v>
      </c>
      <c r="Q15" s="50" t="n">
        <v>8</v>
      </c>
      <c r="R15" s="50" t="n">
        <v>9</v>
      </c>
      <c r="S15" s="50" t="n">
        <v>5</v>
      </c>
      <c r="T15" s="50" t="n">
        <v>8</v>
      </c>
      <c r="U15" s="50" t="n">
        <v>7</v>
      </c>
      <c r="V15" s="50" t="n">
        <v>15</v>
      </c>
      <c r="W15" s="50" t="inlineStr">
        <is>
          <t>Medium</t>
        </is>
      </c>
      <c r="X15" s="50" t="inlineStr">
        <is>
          <t>Outdoor</t>
        </is>
      </c>
      <c r="Y15" s="50" t="inlineStr">
        <is>
          <t>No</t>
        </is>
      </c>
      <c r="Z15" s="50" t="inlineStr">
        <is>
          <t>Low</t>
        </is>
      </c>
      <c r="AA15" s="50" t="inlineStr">
        <is>
          <t>6–10</t>
        </is>
      </c>
      <c r="AB15" s="50" t="inlineStr">
        <is>
          <t>Medium</t>
        </is>
      </c>
      <c r="AC15" s="50" t="n">
        <v>10</v>
      </c>
      <c r="AD15" s="50" t="inlineStr">
        <is>
          <t>Yes</t>
        </is>
      </c>
      <c r="AE15" s="50" t="inlineStr">
        <is>
          <t>S25, S26</t>
        </is>
      </c>
      <c r="AF15" s="50" t="inlineStr">
        <is>
          <t>Cullen et al. (S25) elite inter-county sample (n=148). Range 178–187 cm / 81.0–83.6 kg (S26). Full-forwards carry slightly higher BF; half-backs/midfield leanest.</t>
        </is>
      </c>
      <c r="AG15" s="50" t="inlineStr">
        <is>
          <t>M</t>
        </is>
      </c>
    </row>
    <row r="16" ht="63.75" customHeight="1" s="37">
      <c r="A16" s="50" t="inlineStr">
        <is>
          <t>SP11</t>
        </is>
      </c>
      <c r="B16" s="50" t="inlineStr">
        <is>
          <t>Sprinting (track)</t>
        </is>
      </c>
      <c r="C16" s="50" t="inlineStr">
        <is>
          <t>100 m</t>
        </is>
      </c>
      <c r="D16" s="50" t="inlineStr">
        <is>
          <t>Individual power-speed</t>
        </is>
      </c>
      <c r="E16" s="50" t="n">
        <v>179</v>
      </c>
      <c r="F16" s="50" t="n">
        <v>8</v>
      </c>
      <c r="G16" s="50" t="n">
        <v>80</v>
      </c>
      <c r="H16" s="50" t="n">
        <v>8</v>
      </c>
      <c r="I16" s="50" t="n">
        <v>24.9</v>
      </c>
      <c r="J16" s="50" t="n">
        <v>8</v>
      </c>
      <c r="K16" s="50" t="n"/>
      <c r="L16" s="50" t="n"/>
      <c r="M16" s="50" t="n">
        <v>3</v>
      </c>
      <c r="N16" s="50" t="n">
        <v>10</v>
      </c>
      <c r="O16" s="50" t="n">
        <v>9</v>
      </c>
      <c r="P16" s="50" t="n">
        <v>10</v>
      </c>
      <c r="Q16" s="50" t="n">
        <v>10</v>
      </c>
      <c r="R16" s="50" t="n">
        <v>2</v>
      </c>
      <c r="S16" s="50" t="n">
        <v>7</v>
      </c>
      <c r="T16" s="50" t="n">
        <v>8</v>
      </c>
      <c r="U16" s="50" t="n">
        <v>10</v>
      </c>
      <c r="V16" s="50" t="n">
        <v>1</v>
      </c>
      <c r="W16" s="50" t="inlineStr">
        <is>
          <t>None</t>
        </is>
      </c>
      <c r="X16" s="50" t="inlineStr">
        <is>
          <t>Outdoor</t>
        </is>
      </c>
      <c r="Y16" s="50" t="inlineStr">
        <is>
          <t>No</t>
        </is>
      </c>
      <c r="Z16" s="50" t="inlineStr">
        <is>
          <t>Low</t>
        </is>
      </c>
      <c r="AA16" s="50" t="inlineStr">
        <is>
          <t>10–14</t>
        </is>
      </c>
      <c r="AB16" s="50" t="inlineStr">
        <is>
          <t>Medium</t>
        </is>
      </c>
      <c r="AC16" s="50" t="n">
        <v>7</v>
      </c>
      <c r="AD16" s="50" t="inlineStr">
        <is>
          <t>Some</t>
        </is>
      </c>
      <c r="AE16" s="50" t="inlineStr">
        <is>
          <t>S27, S28</t>
        </is>
      </c>
      <c r="AF16" s="50" t="inlineStr">
        <is>
          <t>Beijing/Berlin/London 100m finalists 176–179 cm / 77–80 kg (S27). US elite cohort 173 ± 8 cm / 69.3 ± 10 kg / BMI 23.1 (S28). Bolt outlier at 196 cm / 93 kg. ~70–80% Type II muscle fibres typical.</t>
        </is>
      </c>
      <c r="AG16" s="50" t="inlineStr">
        <is>
          <t>M</t>
        </is>
      </c>
    </row>
    <row r="17" ht="63.75" customHeight="1" s="37">
      <c r="A17" s="50" t="inlineStr">
        <is>
          <t>SP12</t>
        </is>
      </c>
      <c r="B17" s="50" t="inlineStr">
        <is>
          <t>Sport climbing</t>
        </is>
      </c>
      <c r="C17" s="50" t="inlineStr">
        <is>
          <t>Lead / bouldering</t>
        </is>
      </c>
      <c r="D17" s="50" t="inlineStr">
        <is>
          <t>Individual technical</t>
        </is>
      </c>
      <c r="E17" s="50" t="n">
        <v>174</v>
      </c>
      <c r="F17" s="50" t="n">
        <v>6</v>
      </c>
      <c r="G17" s="50" t="n">
        <v>64</v>
      </c>
      <c r="H17" s="50" t="n">
        <v>8</v>
      </c>
      <c r="I17" s="50" t="n">
        <v>21.2</v>
      </c>
      <c r="J17" s="50" t="n">
        <v>8</v>
      </c>
      <c r="K17" s="50" t="n">
        <v>1.02</v>
      </c>
      <c r="L17" s="50" t="n"/>
      <c r="M17" s="50" t="n">
        <v>6</v>
      </c>
      <c r="N17" s="50" t="n">
        <v>7</v>
      </c>
      <c r="O17" s="50" t="n">
        <v>9</v>
      </c>
      <c r="P17" s="50" t="n">
        <v>8</v>
      </c>
      <c r="Q17" s="50" t="n">
        <v>4</v>
      </c>
      <c r="R17" s="50" t="n">
        <v>7</v>
      </c>
      <c r="S17" s="50" t="n">
        <v>9</v>
      </c>
      <c r="T17" s="50" t="n">
        <v>9</v>
      </c>
      <c r="U17" s="50" t="n">
        <v>7</v>
      </c>
      <c r="V17" s="50" t="n">
        <v>1</v>
      </c>
      <c r="W17" s="50" t="inlineStr">
        <is>
          <t>None</t>
        </is>
      </c>
      <c r="X17" s="50" t="inlineStr">
        <is>
          <t>Indoor / outdoor</t>
        </is>
      </c>
      <c r="Y17" s="50" t="inlineStr">
        <is>
          <t>No</t>
        </is>
      </c>
      <c r="Z17" s="50" t="inlineStr">
        <is>
          <t>Medium</t>
        </is>
      </c>
      <c r="AA17" s="50" t="inlineStr">
        <is>
          <t>Any</t>
        </is>
      </c>
      <c r="AB17" s="50" t="inlineStr">
        <is>
          <t>Medium</t>
        </is>
      </c>
      <c r="AC17" s="50" t="n">
        <v>7</v>
      </c>
      <c r="AD17" s="50" t="inlineStr">
        <is>
          <t>Growing</t>
        </is>
      </c>
      <c r="AE17" s="50" t="inlineStr">
        <is>
          <t>S29, S30</t>
        </is>
      </c>
      <c r="AF17" s="50" t="inlineStr">
        <is>
          <t>High-elite lead climbers 173.3 ± 6.3 cm / 63.3 ± 8.4 kg / BF 7.97 ± 4.83% (S30). International-level climbers have higher ape index and arm-index than national-level; lower body mass and BF than less-elite (S29, S30).</t>
        </is>
      </c>
      <c r="AG17" s="50" t="inlineStr">
        <is>
          <t>M</t>
        </is>
      </c>
    </row>
    <row r="18" ht="63.75" customHeight="1" s="37">
      <c r="A18" s="50" t="inlineStr">
        <is>
          <t>SP13</t>
        </is>
      </c>
      <c r="B18" s="50" t="inlineStr">
        <is>
          <t>Boxing</t>
        </is>
      </c>
      <c r="C18" s="50" t="inlineStr">
        <is>
          <t>Heavyweight (&gt;91 kg)</t>
        </is>
      </c>
      <c r="D18" s="50" t="inlineStr">
        <is>
          <t>Combat striking</t>
        </is>
      </c>
      <c r="E18" s="50" t="n">
        <v>187</v>
      </c>
      <c r="F18" s="50" t="n">
        <v>6.5</v>
      </c>
      <c r="G18" s="50" t="n">
        <v>110</v>
      </c>
      <c r="H18" s="50" t="n">
        <v>12</v>
      </c>
      <c r="I18" s="50" t="n">
        <v>31.4</v>
      </c>
      <c r="J18" s="50" t="n">
        <v>13</v>
      </c>
      <c r="K18" s="50" t="n">
        <v>1.04</v>
      </c>
      <c r="L18" s="50" t="n"/>
      <c r="M18" s="50" t="n">
        <v>7</v>
      </c>
      <c r="N18" s="50" t="n">
        <v>9</v>
      </c>
      <c r="O18" s="50" t="n">
        <v>9</v>
      </c>
      <c r="P18" s="50" t="n">
        <v>9</v>
      </c>
      <c r="Q18" s="50" t="n">
        <v>7</v>
      </c>
      <c r="R18" s="50" t="n">
        <v>7</v>
      </c>
      <c r="S18" s="50" t="n">
        <v>5</v>
      </c>
      <c r="T18" s="50" t="n">
        <v>9</v>
      </c>
      <c r="U18" s="50" t="n">
        <v>10</v>
      </c>
      <c r="V18" s="50" t="n">
        <v>1</v>
      </c>
      <c r="W18" s="50" t="inlineStr">
        <is>
          <t>Heavy</t>
        </is>
      </c>
      <c r="X18" s="50" t="inlineStr">
        <is>
          <t>Indoor</t>
        </is>
      </c>
      <c r="Y18" s="50" t="inlineStr">
        <is>
          <t>No</t>
        </is>
      </c>
      <c r="Z18" s="50" t="inlineStr">
        <is>
          <t>Low</t>
        </is>
      </c>
      <c r="AA18" s="50" t="inlineStr">
        <is>
          <t>10–18</t>
        </is>
      </c>
      <c r="AB18" s="50" t="inlineStr">
        <is>
          <t>High</t>
        </is>
      </c>
      <c r="AC18" s="50" t="n">
        <v>8</v>
      </c>
      <c r="AD18" s="50" t="inlineStr">
        <is>
          <t>Yes</t>
        </is>
      </c>
      <c r="AE18" s="50" t="inlineStr">
        <is>
          <t>S31, S32, S33</t>
        </is>
      </c>
      <c r="AF18" s="50" t="inlineStr">
        <is>
          <t>Heavyweight world title contestants (n=237): 187.3 ± 6.5 cm / 97.5 ± 11.5 kg / reach 195.2 ± 9.4 cm (S32). Population-level optimum ~110 kg for winning (S31). Long reach and tall stature strong positive predictors.</t>
        </is>
      </c>
      <c r="AG18" s="50" t="inlineStr">
        <is>
          <t>M</t>
        </is>
      </c>
    </row>
    <row r="19" ht="63.75" customHeight="1" s="37">
      <c r="A19" s="50" t="inlineStr">
        <is>
          <t>SP13b</t>
        </is>
      </c>
      <c r="B19" s="50" t="inlineStr">
        <is>
          <t>Boxing</t>
        </is>
      </c>
      <c r="C19" s="50" t="inlineStr">
        <is>
          <t>Featherweight (~57 kg)</t>
        </is>
      </c>
      <c r="D19" s="50" t="inlineStr">
        <is>
          <t>Combat striking</t>
        </is>
      </c>
      <c r="E19" s="50" t="n">
        <v>170</v>
      </c>
      <c r="F19" s="50" t="n">
        <v>5</v>
      </c>
      <c r="G19" s="50" t="n">
        <v>57</v>
      </c>
      <c r="H19" s="50" t="n">
        <v>2</v>
      </c>
      <c r="I19" s="50" t="n">
        <v>19.7</v>
      </c>
      <c r="J19" s="50" t="n">
        <v>7</v>
      </c>
      <c r="K19" s="50" t="n">
        <v>1.03</v>
      </c>
      <c r="L19" s="50" t="n"/>
      <c r="M19" s="50" t="n">
        <v>8</v>
      </c>
      <c r="N19" s="50" t="n">
        <v>10</v>
      </c>
      <c r="O19" s="50" t="n">
        <v>8</v>
      </c>
      <c r="P19" s="50" t="n">
        <v>9</v>
      </c>
      <c r="Q19" s="50" t="n">
        <v>8</v>
      </c>
      <c r="R19" s="50" t="n">
        <v>7</v>
      </c>
      <c r="S19" s="50" t="n">
        <v>5</v>
      </c>
      <c r="T19" s="50" t="n">
        <v>9</v>
      </c>
      <c r="U19" s="50" t="n">
        <v>10</v>
      </c>
      <c r="V19" s="50" t="n">
        <v>1</v>
      </c>
      <c r="W19" s="50" t="inlineStr">
        <is>
          <t>Heavy</t>
        </is>
      </c>
      <c r="X19" s="50" t="inlineStr">
        <is>
          <t>Indoor</t>
        </is>
      </c>
      <c r="Y19" s="50" t="inlineStr">
        <is>
          <t>No</t>
        </is>
      </c>
      <c r="Z19" s="50" t="inlineStr">
        <is>
          <t>Low</t>
        </is>
      </c>
      <c r="AA19" s="50" t="inlineStr">
        <is>
          <t>10–18</t>
        </is>
      </c>
      <c r="AB19" s="50" t="inlineStr">
        <is>
          <t>High</t>
        </is>
      </c>
      <c r="AC19" s="50" t="n">
        <v>8</v>
      </c>
      <c r="AD19" s="50" t="inlineStr">
        <is>
          <t>Yes</t>
        </is>
      </c>
      <c r="AE19" s="50" t="inlineStr">
        <is>
          <t>S33, S34</t>
        </is>
      </c>
      <c r="AF19" s="50" t="inlineStr">
        <is>
          <t>Featherweight elite case study: BF 7.0% (BIA), somatotype 1.5-2.8-5.2 (S34). Boxing male means across weight classes BMI ~22.7 (S33). Lighter classes leaner and longer.</t>
        </is>
      </c>
      <c r="AG19" s="50" t="inlineStr">
        <is>
          <t>M</t>
        </is>
      </c>
    </row>
    <row r="20" ht="63.75" customHeight="1" s="37">
      <c r="A20" s="50" t="inlineStr">
        <is>
          <t>SP13F</t>
        </is>
      </c>
      <c r="B20" s="50" t="inlineStr">
        <is>
          <t>Boxing</t>
        </is>
      </c>
      <c r="C20" s="50" t="inlineStr">
        <is>
          <t>Female (Olympic mean)</t>
        </is>
      </c>
      <c r="D20" s="50" t="inlineStr">
        <is>
          <t>Combat striking</t>
        </is>
      </c>
      <c r="E20" s="50" t="n">
        <v>168</v>
      </c>
      <c r="F20" s="50" t="n">
        <v>6</v>
      </c>
      <c r="G20" s="50" t="n">
        <v>60</v>
      </c>
      <c r="H20" s="50" t="n">
        <v>8</v>
      </c>
      <c r="I20" s="50" t="n">
        <v>22.5</v>
      </c>
      <c r="J20" s="50" t="n">
        <v>17</v>
      </c>
      <c r="K20" s="50" t="n"/>
      <c r="L20" s="50" t="n"/>
      <c r="M20" s="50" t="n">
        <v>8</v>
      </c>
      <c r="N20" s="50" t="n">
        <v>9</v>
      </c>
      <c r="O20" s="50" t="n">
        <v>8</v>
      </c>
      <c r="P20" s="50" t="n">
        <v>9</v>
      </c>
      <c r="Q20" s="50" t="n">
        <v>8</v>
      </c>
      <c r="R20" s="50" t="n">
        <v>7</v>
      </c>
      <c r="S20" s="50" t="n">
        <v>6</v>
      </c>
      <c r="T20" s="50" t="n">
        <v>9</v>
      </c>
      <c r="U20" s="50" t="n">
        <v>10</v>
      </c>
      <c r="V20" s="50" t="n">
        <v>1</v>
      </c>
      <c r="W20" s="50" t="inlineStr">
        <is>
          <t>Heavy</t>
        </is>
      </c>
      <c r="X20" s="50" t="inlineStr">
        <is>
          <t>Indoor</t>
        </is>
      </c>
      <c r="Y20" s="50" t="inlineStr">
        <is>
          <t>No</t>
        </is>
      </c>
      <c r="Z20" s="50" t="inlineStr">
        <is>
          <t>Low</t>
        </is>
      </c>
      <c r="AA20" s="50" t="inlineStr">
        <is>
          <t>12–18</t>
        </is>
      </c>
      <c r="AB20" s="50" t="inlineStr">
        <is>
          <t>High</t>
        </is>
      </c>
      <c r="AC20" s="50" t="n">
        <v>7</v>
      </c>
      <c r="AD20" s="50" t="inlineStr">
        <is>
          <t>Yes</t>
        </is>
      </c>
      <c r="AE20" s="50" t="inlineStr">
        <is>
          <t>S33, S52</t>
        </is>
      </c>
      <c r="AF20" s="50" t="inlineStr">
        <is>
          <t>Olympic female combat athletes — boxers: BMI ~22.5, BF ~13.9% in Reale (S33). Female boxers high BMD despite low fat mass (S52). Profile is across-weight-class mean.</t>
        </is>
      </c>
      <c r="AG20" s="50" t="inlineStr">
        <is>
          <t>F</t>
        </is>
      </c>
    </row>
    <row r="21" ht="63.75" customHeight="1" s="37">
      <c r="A21" s="50" t="inlineStr">
        <is>
          <t>SP14</t>
        </is>
      </c>
      <c r="B21" s="50" t="inlineStr">
        <is>
          <t>MMA</t>
        </is>
      </c>
      <c r="C21" s="50" t="inlineStr">
        <is>
          <t>All disciplines (lightweight–welterweight)</t>
        </is>
      </c>
      <c r="D21" s="50" t="inlineStr">
        <is>
          <t>Combat mixed</t>
        </is>
      </c>
      <c r="E21" s="50" t="n">
        <v>177</v>
      </c>
      <c r="F21" s="50" t="n">
        <v>6</v>
      </c>
      <c r="G21" s="50" t="n">
        <v>75</v>
      </c>
      <c r="H21" s="50" t="n">
        <v>8</v>
      </c>
      <c r="I21" s="50" t="n">
        <v>24</v>
      </c>
      <c r="J21" s="50" t="n">
        <v>10</v>
      </c>
      <c r="K21" s="50" t="n">
        <v>1.03</v>
      </c>
      <c r="L21" s="50" t="n"/>
      <c r="M21" s="50" t="n">
        <v>8</v>
      </c>
      <c r="N21" s="50" t="n">
        <v>10</v>
      </c>
      <c r="O21" s="50" t="n">
        <v>8</v>
      </c>
      <c r="P21" s="50" t="n">
        <v>9</v>
      </c>
      <c r="Q21" s="50" t="n">
        <v>8</v>
      </c>
      <c r="R21" s="50" t="n">
        <v>8</v>
      </c>
      <c r="S21" s="50" t="n">
        <v>7</v>
      </c>
      <c r="T21" s="50" t="n">
        <v>9</v>
      </c>
      <c r="U21" s="50" t="n">
        <v>9</v>
      </c>
      <c r="V21" s="50" t="n">
        <v>1</v>
      </c>
      <c r="W21" s="50" t="inlineStr">
        <is>
          <t>Heavy</t>
        </is>
      </c>
      <c r="X21" s="50" t="inlineStr">
        <is>
          <t>Indoor</t>
        </is>
      </c>
      <c r="Y21" s="50" t="inlineStr">
        <is>
          <t>No</t>
        </is>
      </c>
      <c r="Z21" s="50" t="inlineStr">
        <is>
          <t>Low</t>
        </is>
      </c>
      <c r="AA21" s="50" t="inlineStr">
        <is>
          <t>16+</t>
        </is>
      </c>
      <c r="AB21" s="50" t="inlineStr">
        <is>
          <t>High</t>
        </is>
      </c>
      <c r="AC21" s="50" t="n">
        <v>6</v>
      </c>
      <c r="AD21" s="50" t="inlineStr">
        <is>
          <t>Growing</t>
        </is>
      </c>
      <c r="AE21" s="50" t="inlineStr">
        <is>
          <t>S40, S33</t>
        </is>
      </c>
      <c r="AF21" s="50" t="inlineStr">
        <is>
          <t>Profile bridges striking and grappling demands; published MMA elite cohorts span wider range than single-discipline combat sports (S40). Borrows from kickboxing/BJJ/wrestling.</t>
        </is>
      </c>
      <c r="AG21" s="50" t="inlineStr">
        <is>
          <t>M</t>
        </is>
      </c>
    </row>
    <row r="22" ht="63.75" customHeight="1" s="37">
      <c r="A22" s="50" t="inlineStr">
        <is>
          <t>SP15</t>
        </is>
      </c>
      <c r="B22" s="50" t="inlineStr">
        <is>
          <t>Judo</t>
        </is>
      </c>
      <c r="C22" s="50" t="inlineStr">
        <is>
          <t>Senior elite (cross weight, male)</t>
        </is>
      </c>
      <c r="D22" s="50" t="inlineStr">
        <is>
          <t>Combat grappling</t>
        </is>
      </c>
      <c r="E22" s="50" t="n">
        <v>176</v>
      </c>
      <c r="F22" s="50" t="n">
        <v>8</v>
      </c>
      <c r="G22" s="50" t="n">
        <v>80</v>
      </c>
      <c r="H22" s="50" t="n">
        <v>18</v>
      </c>
      <c r="I22" s="50" t="n">
        <v>25.8</v>
      </c>
      <c r="J22" s="50" t="n">
        <v>13</v>
      </c>
      <c r="K22" s="50" t="n"/>
      <c r="L22" s="50" t="n"/>
      <c r="M22" s="50" t="n">
        <v>7</v>
      </c>
      <c r="N22" s="50" t="n">
        <v>10</v>
      </c>
      <c r="O22" s="50" t="n">
        <v>9</v>
      </c>
      <c r="P22" s="50" t="n">
        <v>8</v>
      </c>
      <c r="Q22" s="50" t="n">
        <v>6</v>
      </c>
      <c r="R22" s="50" t="n">
        <v>7</v>
      </c>
      <c r="S22" s="50" t="n">
        <v>8</v>
      </c>
      <c r="T22" s="50" t="n">
        <v>9</v>
      </c>
      <c r="U22" s="50" t="n">
        <v>8</v>
      </c>
      <c r="V22" s="50" t="n">
        <v>1</v>
      </c>
      <c r="W22" s="50" t="inlineStr">
        <is>
          <t>Heavy</t>
        </is>
      </c>
      <c r="X22" s="50" t="inlineStr">
        <is>
          <t>Indoor</t>
        </is>
      </c>
      <c r="Y22" s="50" t="inlineStr">
        <is>
          <t>No</t>
        </is>
      </c>
      <c r="Z22" s="50" t="inlineStr">
        <is>
          <t>Low</t>
        </is>
      </c>
      <c r="AA22" s="50" t="inlineStr">
        <is>
          <t>6–14</t>
        </is>
      </c>
      <c r="AB22" s="50" t="inlineStr">
        <is>
          <t>High</t>
        </is>
      </c>
      <c r="AC22" s="50" t="n">
        <v>7</v>
      </c>
      <c r="AD22" s="50" t="inlineStr">
        <is>
          <t>Yes</t>
        </is>
      </c>
      <c r="AE22" s="50" t="inlineStr">
        <is>
          <t>S33, S36, S37</t>
        </is>
      </c>
      <c r="AF22" s="50" t="inlineStr">
        <is>
          <t>Male judo Olympic mean BMI ~26.1 (S33). Spanish elite male profile from Canda (S37) varies sharply by weight class. Lower-weight judokas leaner; heavyweights up to 130+ kg.</t>
        </is>
      </c>
      <c r="AG22" s="50" t="inlineStr">
        <is>
          <t>M</t>
        </is>
      </c>
    </row>
    <row r="23" ht="63.75" customHeight="1" s="37">
      <c r="A23" s="50" t="inlineStr">
        <is>
          <t>SP15F</t>
        </is>
      </c>
      <c r="B23" s="50" t="inlineStr">
        <is>
          <t>Judo</t>
        </is>
      </c>
      <c r="C23" s="50" t="inlineStr">
        <is>
          <t>Senior elite (cross weight, female)</t>
        </is>
      </c>
      <c r="D23" s="50" t="inlineStr">
        <is>
          <t>Combat grappling</t>
        </is>
      </c>
      <c r="E23" s="50" t="n">
        <v>166</v>
      </c>
      <c r="F23" s="50" t="n">
        <v>7</v>
      </c>
      <c r="G23" s="50" t="n">
        <v>67</v>
      </c>
      <c r="H23" s="50" t="n">
        <v>12</v>
      </c>
      <c r="I23" s="50" t="n">
        <v>24.5</v>
      </c>
      <c r="J23" s="50" t="n">
        <v>18</v>
      </c>
      <c r="K23" s="50" t="n"/>
      <c r="L23" s="50" t="n"/>
      <c r="M23" s="50" t="n">
        <v>7</v>
      </c>
      <c r="N23" s="50" t="n">
        <v>10</v>
      </c>
      <c r="O23" s="50" t="n">
        <v>8</v>
      </c>
      <c r="P23" s="50" t="n">
        <v>8</v>
      </c>
      <c r="Q23" s="50" t="n">
        <v>6</v>
      </c>
      <c r="R23" s="50" t="n">
        <v>7</v>
      </c>
      <c r="S23" s="50" t="n">
        <v>9</v>
      </c>
      <c r="T23" s="50" t="n">
        <v>9</v>
      </c>
      <c r="U23" s="50" t="n">
        <v>8</v>
      </c>
      <c r="V23" s="50" t="n">
        <v>1</v>
      </c>
      <c r="W23" s="50" t="inlineStr">
        <is>
          <t>Heavy</t>
        </is>
      </c>
      <c r="X23" s="50" t="inlineStr">
        <is>
          <t>Indoor</t>
        </is>
      </c>
      <c r="Y23" s="50" t="inlineStr">
        <is>
          <t>No</t>
        </is>
      </c>
      <c r="Z23" s="50" t="inlineStr">
        <is>
          <t>Low</t>
        </is>
      </c>
      <c r="AA23" s="50" t="inlineStr">
        <is>
          <t>6–14</t>
        </is>
      </c>
      <c r="AB23" s="50" t="inlineStr">
        <is>
          <t>High</t>
        </is>
      </c>
      <c r="AC23" s="50" t="n">
        <v>7</v>
      </c>
      <c r="AD23" s="50" t="inlineStr">
        <is>
          <t>Yes</t>
        </is>
      </c>
      <c r="AE23" s="50" t="inlineStr">
        <is>
          <t>S33, S50, S51</t>
        </is>
      </c>
      <c r="AF23" s="50" t="inlineStr">
        <is>
          <t>Female judoka Olympic mean BMI ~24.5 / BF ~17.6% (S33). Spanish and Polish female elite cohorts cluster similarly. High-rank female judokas: lower BF, larger neck/thoracic circumferences, longer hands and shorter thighs (S50).</t>
        </is>
      </c>
      <c r="AG23" s="50" t="inlineStr">
        <is>
          <t>F</t>
        </is>
      </c>
    </row>
    <row r="24" ht="63.75" customHeight="1" s="37">
      <c r="A24" s="50" t="inlineStr">
        <is>
          <t>SP16</t>
        </is>
      </c>
      <c r="B24" s="50" t="inlineStr">
        <is>
          <t>Brazilian jiu-jitsu</t>
        </is>
      </c>
      <c r="C24" s="50" t="inlineStr">
        <is>
          <t>Senior elite (male)</t>
        </is>
      </c>
      <c r="D24" s="50" t="inlineStr">
        <is>
          <t>Combat grappling</t>
        </is>
      </c>
      <c r="E24" s="50" t="n">
        <v>176</v>
      </c>
      <c r="F24" s="50" t="n">
        <v>6</v>
      </c>
      <c r="G24" s="50" t="n">
        <v>80</v>
      </c>
      <c r="H24" s="50" t="n">
        <v>10</v>
      </c>
      <c r="I24" s="50" t="n">
        <v>25.8</v>
      </c>
      <c r="J24" s="50" t="n">
        <v>11</v>
      </c>
      <c r="K24" s="50" t="n"/>
      <c r="L24" s="50" t="n"/>
      <c r="M24" s="50" t="n">
        <v>7</v>
      </c>
      <c r="N24" s="50" t="n">
        <v>9</v>
      </c>
      <c r="O24" s="50" t="n">
        <v>8</v>
      </c>
      <c r="P24" s="50" t="n">
        <v>8</v>
      </c>
      <c r="Q24" s="50" t="n">
        <v>5</v>
      </c>
      <c r="R24" s="50" t="n">
        <v>8</v>
      </c>
      <c r="S24" s="50" t="n">
        <v>9</v>
      </c>
      <c r="T24" s="50" t="n">
        <v>10</v>
      </c>
      <c r="U24" s="50" t="n">
        <v>7</v>
      </c>
      <c r="V24" s="50" t="n">
        <v>1</v>
      </c>
      <c r="W24" s="50" t="inlineStr">
        <is>
          <t>Heavy</t>
        </is>
      </c>
      <c r="X24" s="50" t="inlineStr">
        <is>
          <t>Indoor</t>
        </is>
      </c>
      <c r="Y24" s="50" t="inlineStr">
        <is>
          <t>No</t>
        </is>
      </c>
      <c r="Z24" s="50" t="inlineStr">
        <is>
          <t>Low</t>
        </is>
      </c>
      <c r="AA24" s="50" t="inlineStr">
        <is>
          <t>Any</t>
        </is>
      </c>
      <c r="AB24" s="50" t="inlineStr">
        <is>
          <t>Medium</t>
        </is>
      </c>
      <c r="AC24" s="50" t="n">
        <v>7</v>
      </c>
      <c r="AD24" s="50" t="inlineStr">
        <is>
          <t>Growing</t>
        </is>
      </c>
      <c r="AE24" s="50" t="inlineStr">
        <is>
          <t>S38, S39</t>
        </is>
      </c>
      <c r="AF24" s="50" t="inlineStr">
        <is>
          <t>Mesomorph somatotype dominant in BJJ elite (S38). Performance correlates more with technique and grappling-specific endurance than with extreme physical attributes; flatter physical-constraint profile vs other combat sports.</t>
        </is>
      </c>
      <c r="AG24" s="50" t="inlineStr">
        <is>
          <t>M</t>
        </is>
      </c>
    </row>
    <row r="25" ht="63.75" customHeight="1" s="37">
      <c r="A25" s="50" t="inlineStr">
        <is>
          <t>SP17</t>
        </is>
      </c>
      <c r="B25" s="50" t="inlineStr">
        <is>
          <t>Wrestling (freestyle)</t>
        </is>
      </c>
      <c r="C25" s="50" t="inlineStr">
        <is>
          <t>Senior elite (male)</t>
        </is>
      </c>
      <c r="D25" s="50" t="inlineStr">
        <is>
          <t>Combat grappling</t>
        </is>
      </c>
      <c r="E25" s="50" t="n">
        <v>171</v>
      </c>
      <c r="F25" s="50" t="n">
        <v>5</v>
      </c>
      <c r="G25" s="50" t="n">
        <v>75</v>
      </c>
      <c r="H25" s="50" t="n">
        <v>10</v>
      </c>
      <c r="I25" s="50" t="n">
        <v>25.7</v>
      </c>
      <c r="J25" s="50" t="n">
        <v>11</v>
      </c>
      <c r="K25" s="50" t="n"/>
      <c r="L25" s="50" t="n"/>
      <c r="M25" s="50" t="n">
        <v>7</v>
      </c>
      <c r="N25" s="50" t="n">
        <v>10</v>
      </c>
      <c r="O25" s="50" t="n">
        <v>10</v>
      </c>
      <c r="P25" s="50" t="n">
        <v>9</v>
      </c>
      <c r="Q25" s="50" t="n">
        <v>7</v>
      </c>
      <c r="R25" s="50" t="n">
        <v>7</v>
      </c>
      <c r="S25" s="50" t="n">
        <v>8</v>
      </c>
      <c r="T25" s="50" t="n">
        <v>9</v>
      </c>
      <c r="U25" s="50" t="n">
        <v>9</v>
      </c>
      <c r="V25" s="50" t="n">
        <v>1</v>
      </c>
      <c r="W25" s="50" t="inlineStr">
        <is>
          <t>Heavy</t>
        </is>
      </c>
      <c r="X25" s="50" t="inlineStr">
        <is>
          <t>Indoor</t>
        </is>
      </c>
      <c r="Y25" s="50" t="inlineStr">
        <is>
          <t>No</t>
        </is>
      </c>
      <c r="Z25" s="50" t="inlineStr">
        <is>
          <t>Low</t>
        </is>
      </c>
      <c r="AA25" s="50" t="inlineStr">
        <is>
          <t>8–16</t>
        </is>
      </c>
      <c r="AB25" s="50" t="inlineStr">
        <is>
          <t>High</t>
        </is>
      </c>
      <c r="AC25" s="50" t="n">
        <v>5</v>
      </c>
      <c r="AD25" s="50" t="inlineStr">
        <is>
          <t>Some</t>
        </is>
      </c>
      <c r="AE25" s="50" t="inlineStr">
        <is>
          <t>S33, S41</t>
        </is>
      </c>
      <c r="AF25" s="50" t="inlineStr">
        <is>
          <t>Turkish Super League freestyle wrestlers 170.9 ± 5.3 cm / 75.2 ± 9.6 kg / BMI 25.7 ± 2.4 (S41). Olympic male wrestlers BMI ~24.2 (S33). Highest strength demand of all combat sports relative to bodyweight.</t>
        </is>
      </c>
      <c r="AG25" s="50" t="inlineStr">
        <is>
          <t>M</t>
        </is>
      </c>
    </row>
    <row r="26" ht="63.75" customHeight="1" s="37">
      <c r="A26" s="50" t="inlineStr">
        <is>
          <t>SP18</t>
        </is>
      </c>
      <c r="B26" s="50" t="inlineStr">
        <is>
          <t>Taekwondo</t>
        </is>
      </c>
      <c r="C26" s="50" t="inlineStr">
        <is>
          <t>Senior elite (male)</t>
        </is>
      </c>
      <c r="D26" s="50" t="inlineStr">
        <is>
          <t>Combat striking</t>
        </is>
      </c>
      <c r="E26" s="50" t="n">
        <v>180</v>
      </c>
      <c r="F26" s="50" t="n">
        <v>6</v>
      </c>
      <c r="G26" s="50" t="n">
        <v>67</v>
      </c>
      <c r="H26" s="50" t="n">
        <v>8</v>
      </c>
      <c r="I26" s="50" t="n">
        <v>20.7</v>
      </c>
      <c r="J26" s="50" t="n">
        <v>9</v>
      </c>
      <c r="K26" s="50" t="n"/>
      <c r="L26" s="50" t="n"/>
      <c r="M26" s="50" t="n">
        <v>8</v>
      </c>
      <c r="N26" s="50" t="n">
        <v>10</v>
      </c>
      <c r="O26" s="50" t="n">
        <v>6</v>
      </c>
      <c r="P26" s="50" t="n">
        <v>10</v>
      </c>
      <c r="Q26" s="50" t="n">
        <v>9</v>
      </c>
      <c r="R26" s="50" t="n">
        <v>7</v>
      </c>
      <c r="S26" s="50" t="n">
        <v>10</v>
      </c>
      <c r="T26" s="50" t="n">
        <v>9</v>
      </c>
      <c r="U26" s="50" t="n">
        <v>10</v>
      </c>
      <c r="V26" s="50" t="n">
        <v>1</v>
      </c>
      <c r="W26" s="50" t="inlineStr">
        <is>
          <t>Medium</t>
        </is>
      </c>
      <c r="X26" s="50" t="inlineStr">
        <is>
          <t>Indoor</t>
        </is>
      </c>
      <c r="Y26" s="50" t="inlineStr">
        <is>
          <t>No</t>
        </is>
      </c>
      <c r="Z26" s="50" t="inlineStr">
        <is>
          <t>Low</t>
        </is>
      </c>
      <c r="AA26" s="50" t="inlineStr">
        <is>
          <t>6–14</t>
        </is>
      </c>
      <c r="AB26" s="50" t="inlineStr">
        <is>
          <t>Medium</t>
        </is>
      </c>
      <c r="AC26" s="50" t="n">
        <v>7</v>
      </c>
      <c r="AD26" s="50" t="inlineStr">
        <is>
          <t>Yes</t>
        </is>
      </c>
      <c r="AE26" s="50" t="inlineStr">
        <is>
          <t>S33</t>
        </is>
      </c>
      <c r="AF26" s="50" t="inlineStr">
        <is>
          <t>Olympic male taekwondo athletes lowest BMI of combat sports at ~20.7 (S33). Lower-body lean-mass dominant — kicks generate primary scoring. Tall, lean, and explosive.</t>
        </is>
      </c>
      <c r="AG26" s="50" t="inlineStr">
        <is>
          <t>M</t>
        </is>
      </c>
    </row>
    <row r="27" ht="63.75" customHeight="1" s="37">
      <c r="A27" s="50" t="inlineStr">
        <is>
          <t>SP19</t>
        </is>
      </c>
      <c r="B27" s="50" t="inlineStr">
        <is>
          <t>Kickboxing</t>
        </is>
      </c>
      <c r="C27" s="50" t="inlineStr">
        <is>
          <t>Pro middle/welter (male)</t>
        </is>
      </c>
      <c r="D27" s="50" t="inlineStr">
        <is>
          <t>Combat striking</t>
        </is>
      </c>
      <c r="E27" s="50" t="n">
        <v>177</v>
      </c>
      <c r="F27" s="50" t="n">
        <v>6</v>
      </c>
      <c r="G27" s="50" t="n">
        <v>72</v>
      </c>
      <c r="H27" s="50" t="n">
        <v>7</v>
      </c>
      <c r="I27" s="50" t="n">
        <v>23</v>
      </c>
      <c r="J27" s="50" t="n">
        <v>8</v>
      </c>
      <c r="K27" s="50" t="n"/>
      <c r="L27" s="50" t="n"/>
      <c r="M27" s="50" t="n">
        <v>8</v>
      </c>
      <c r="N27" s="50" t="n">
        <v>10</v>
      </c>
      <c r="O27" s="50" t="n">
        <v>8</v>
      </c>
      <c r="P27" s="50" t="n">
        <v>9</v>
      </c>
      <c r="Q27" s="50" t="n">
        <v>9</v>
      </c>
      <c r="R27" s="50" t="n">
        <v>8</v>
      </c>
      <c r="S27" s="50" t="n">
        <v>8</v>
      </c>
      <c r="T27" s="50" t="n">
        <v>9</v>
      </c>
      <c r="U27" s="50" t="n">
        <v>10</v>
      </c>
      <c r="V27" s="50" t="n">
        <v>1</v>
      </c>
      <c r="W27" s="50" t="inlineStr">
        <is>
          <t>Heavy</t>
        </is>
      </c>
      <c r="X27" s="50" t="inlineStr">
        <is>
          <t>Indoor</t>
        </is>
      </c>
      <c r="Y27" s="50" t="inlineStr">
        <is>
          <t>No</t>
        </is>
      </c>
      <c r="Z27" s="50" t="inlineStr">
        <is>
          <t>Low</t>
        </is>
      </c>
      <c r="AA27" s="50" t="inlineStr">
        <is>
          <t>12–18</t>
        </is>
      </c>
      <c r="AB27" s="50" t="inlineStr">
        <is>
          <t>High</t>
        </is>
      </c>
      <c r="AC27" s="50" t="n">
        <v>7</v>
      </c>
      <c r="AD27" s="50" t="inlineStr">
        <is>
          <t>Growing</t>
        </is>
      </c>
      <c r="AE27" s="50" t="inlineStr">
        <is>
          <t>S35</t>
        </is>
      </c>
      <c r="AF27" s="50" t="inlineStr">
        <is>
          <t>Pro middleweight/welterweight kickboxers: VO2max 54–69 ml/kg/min, BF 6.1–10.8%, mesomedial somatotype (S35). Knee extension peak torque higher than many comparable combat athletes.</t>
        </is>
      </c>
      <c r="AG27" s="50" t="inlineStr">
        <is>
          <t>M</t>
        </is>
      </c>
    </row>
    <row r="28" ht="63.75" customHeight="1" s="37">
      <c r="A28" s="50" t="inlineStr">
        <is>
          <t>SP20</t>
        </is>
      </c>
      <c r="B28" s="50" t="inlineStr">
        <is>
          <t>Badminton</t>
        </is>
      </c>
      <c r="C28" s="50" t="inlineStr">
        <is>
          <t>Singles (male elite)</t>
        </is>
      </c>
      <c r="D28" s="50" t="inlineStr">
        <is>
          <t>Individual racquet</t>
        </is>
      </c>
      <c r="E28" s="50" t="n">
        <v>181</v>
      </c>
      <c r="F28" s="50" t="n">
        <v>5</v>
      </c>
      <c r="G28" s="50" t="n">
        <v>73</v>
      </c>
      <c r="H28" s="50" t="n">
        <v>6</v>
      </c>
      <c r="I28" s="50" t="n">
        <v>22.3</v>
      </c>
      <c r="J28" s="50" t="n">
        <v>9</v>
      </c>
      <c r="K28" s="50" t="n"/>
      <c r="L28" s="50" t="n"/>
      <c r="M28" s="50" t="n">
        <v>9</v>
      </c>
      <c r="N28" s="50" t="n">
        <v>9</v>
      </c>
      <c r="O28" s="50" t="n">
        <v>5</v>
      </c>
      <c r="P28" s="50" t="n">
        <v>9</v>
      </c>
      <c r="Q28" s="50" t="n">
        <v>9</v>
      </c>
      <c r="R28" s="50" t="n">
        <v>9</v>
      </c>
      <c r="S28" s="50" t="n">
        <v>8</v>
      </c>
      <c r="T28" s="50" t="n">
        <v>10</v>
      </c>
      <c r="U28" s="50" t="n">
        <v>10</v>
      </c>
      <c r="V28" s="50" t="n">
        <v>1</v>
      </c>
      <c r="W28" s="50" t="inlineStr">
        <is>
          <t>None</t>
        </is>
      </c>
      <c r="X28" s="50" t="inlineStr">
        <is>
          <t>Indoor</t>
        </is>
      </c>
      <c r="Y28" s="50" t="inlineStr">
        <is>
          <t>No</t>
        </is>
      </c>
      <c r="Z28" s="50" t="inlineStr">
        <is>
          <t>Low</t>
        </is>
      </c>
      <c r="AA28" s="50" t="inlineStr">
        <is>
          <t>5–10</t>
        </is>
      </c>
      <c r="AB28" s="50" t="inlineStr">
        <is>
          <t>Medium</t>
        </is>
      </c>
      <c r="AC28" s="50" t="n">
        <v>8</v>
      </c>
      <c r="AD28" s="50" t="inlineStr">
        <is>
          <t>Yes</t>
        </is>
      </c>
      <c r="AE28" s="50" t="inlineStr">
        <is>
          <t>S43, S46</t>
        </is>
      </c>
      <c r="AF28" s="50" t="inlineStr">
        <is>
          <t>2007 BWF World Championships data: men's singles taller and leaner than doubles, with longer segments and lower sum-skinfolds (S43). Court-coverage demands favour tall, lean, long-limbed athletes.</t>
        </is>
      </c>
      <c r="AG28" s="50" t="inlineStr">
        <is>
          <t>M</t>
        </is>
      </c>
    </row>
    <row r="29" ht="63.75" customHeight="1" s="37">
      <c r="A29" s="50" t="inlineStr">
        <is>
          <t>SP20F</t>
        </is>
      </c>
      <c r="B29" s="50" t="inlineStr">
        <is>
          <t>Badminton</t>
        </is>
      </c>
      <c r="C29" s="50" t="inlineStr">
        <is>
          <t>Singles (female elite)</t>
        </is>
      </c>
      <c r="D29" s="50" t="inlineStr">
        <is>
          <t>Individual racquet</t>
        </is>
      </c>
      <c r="E29" s="50" t="n">
        <v>168</v>
      </c>
      <c r="F29" s="50" t="n">
        <v>5</v>
      </c>
      <c r="G29" s="50" t="n">
        <v>60</v>
      </c>
      <c r="H29" s="50" t="n">
        <v>6</v>
      </c>
      <c r="I29" s="50" t="n">
        <v>21.3</v>
      </c>
      <c r="J29" s="50" t="n">
        <v>18</v>
      </c>
      <c r="K29" s="50" t="n"/>
      <c r="L29" s="50" t="n"/>
      <c r="M29" s="50" t="n">
        <v>9</v>
      </c>
      <c r="N29" s="50" t="n">
        <v>9</v>
      </c>
      <c r="O29" s="50" t="n">
        <v>5</v>
      </c>
      <c r="P29" s="50" t="n">
        <v>9</v>
      </c>
      <c r="Q29" s="50" t="n">
        <v>9</v>
      </c>
      <c r="R29" s="50" t="n">
        <v>9</v>
      </c>
      <c r="S29" s="50" t="n">
        <v>9</v>
      </c>
      <c r="T29" s="50" t="n">
        <v>10</v>
      </c>
      <c r="U29" s="50" t="n">
        <v>10</v>
      </c>
      <c r="V29" s="50" t="n">
        <v>1</v>
      </c>
      <c r="W29" s="50" t="inlineStr">
        <is>
          <t>None</t>
        </is>
      </c>
      <c r="X29" s="50" t="inlineStr">
        <is>
          <t>Indoor</t>
        </is>
      </c>
      <c r="Y29" s="50" t="inlineStr">
        <is>
          <t>No</t>
        </is>
      </c>
      <c r="Z29" s="50" t="inlineStr">
        <is>
          <t>Low</t>
        </is>
      </c>
      <c r="AA29" s="50" t="inlineStr">
        <is>
          <t>5–10</t>
        </is>
      </c>
      <c r="AB29" s="50" t="inlineStr">
        <is>
          <t>Medium</t>
        </is>
      </c>
      <c r="AC29" s="50" t="n">
        <v>8</v>
      </c>
      <c r="AD29" s="50" t="inlineStr">
        <is>
          <t>Yes</t>
        </is>
      </c>
      <c r="AE29" s="50" t="inlineStr">
        <is>
          <t>S43, S46</t>
        </is>
      </c>
      <c r="AF29" s="50" t="inlineStr">
        <is>
          <t>Women's singles elite badminton at 2007 BWF Worlds — taller and leaner than doubles counterparts (S43). Heller (S46) profile aligns.</t>
        </is>
      </c>
      <c r="AG29" s="50" t="inlineStr">
        <is>
          <t>F</t>
        </is>
      </c>
    </row>
    <row r="30" ht="63.75" customHeight="1" s="37">
      <c r="A30" s="50" t="inlineStr">
        <is>
          <t>SP21</t>
        </is>
      </c>
      <c r="B30" s="50" t="inlineStr">
        <is>
          <t>Squash</t>
        </is>
      </c>
      <c r="C30" s="50" t="inlineStr">
        <is>
          <t>Senior elite (male)</t>
        </is>
      </c>
      <c r="D30" s="50" t="inlineStr">
        <is>
          <t>Individual racquet</t>
        </is>
      </c>
      <c r="E30" s="50" t="n">
        <v>180</v>
      </c>
      <c r="F30" s="50" t="n">
        <v>5</v>
      </c>
      <c r="G30" s="50" t="n">
        <v>75</v>
      </c>
      <c r="H30" s="50" t="n">
        <v>6</v>
      </c>
      <c r="I30" s="50" t="n">
        <v>23.1</v>
      </c>
      <c r="J30" s="50" t="n">
        <v>10</v>
      </c>
      <c r="K30" s="50" t="n"/>
      <c r="L30" s="50" t="n"/>
      <c r="M30" s="50" t="n">
        <v>10</v>
      </c>
      <c r="N30" s="50" t="n">
        <v>9</v>
      </c>
      <c r="O30" s="50" t="n">
        <v>6</v>
      </c>
      <c r="P30" s="50" t="n">
        <v>8</v>
      </c>
      <c r="Q30" s="50" t="n">
        <v>8</v>
      </c>
      <c r="R30" s="50" t="n">
        <v>9</v>
      </c>
      <c r="S30" s="50" t="n">
        <v>8</v>
      </c>
      <c r="T30" s="50" t="n">
        <v>9</v>
      </c>
      <c r="U30" s="50" t="n">
        <v>9</v>
      </c>
      <c r="V30" s="50" t="n">
        <v>1</v>
      </c>
      <c r="W30" s="50" t="inlineStr">
        <is>
          <t>None</t>
        </is>
      </c>
      <c r="X30" s="50" t="inlineStr">
        <is>
          <t>Indoor</t>
        </is>
      </c>
      <c r="Y30" s="50" t="inlineStr">
        <is>
          <t>No</t>
        </is>
      </c>
      <c r="Z30" s="50" t="inlineStr">
        <is>
          <t>Low</t>
        </is>
      </c>
      <c r="AA30" s="50" t="inlineStr">
        <is>
          <t>10–18</t>
        </is>
      </c>
      <c r="AB30" s="50" t="inlineStr">
        <is>
          <t>Medium</t>
        </is>
      </c>
      <c r="AC30" s="50" t="n">
        <v>7</v>
      </c>
      <c r="AD30" s="50" t="inlineStr">
        <is>
          <t>Yes</t>
        </is>
      </c>
      <c r="AE30" s="50" t="inlineStr">
        <is>
          <t>S45, S42</t>
        </is>
      </c>
      <c r="AF30" s="50" t="inlineStr">
        <is>
          <t>Top-class male squash players historically 178–182 cm, lean and aerobically very well developed (S45). One of the most aerobically demanding racquet sports — closer to running than to tennis.</t>
        </is>
      </c>
      <c r="AG30" s="50" t="inlineStr">
        <is>
          <t>M</t>
        </is>
      </c>
    </row>
    <row r="31" ht="63.75" customHeight="1" s="37">
      <c r="A31" s="50" t="inlineStr">
        <is>
          <t>SP22</t>
        </is>
      </c>
      <c r="B31" s="50" t="inlineStr">
        <is>
          <t>Table tennis</t>
        </is>
      </c>
      <c r="C31" s="50" t="inlineStr">
        <is>
          <t>Senior elite (male)</t>
        </is>
      </c>
      <c r="D31" s="50" t="inlineStr">
        <is>
          <t>Individual racquet</t>
        </is>
      </c>
      <c r="E31" s="50" t="n">
        <v>177</v>
      </c>
      <c r="F31" s="50" t="n">
        <v>6</v>
      </c>
      <c r="G31" s="50" t="n">
        <v>72</v>
      </c>
      <c r="H31" s="50" t="n">
        <v>7</v>
      </c>
      <c r="I31" s="50" t="n">
        <v>23</v>
      </c>
      <c r="J31" s="50" t="n">
        <v>14</v>
      </c>
      <c r="K31" s="50" t="n"/>
      <c r="L31" s="50" t="n"/>
      <c r="M31" s="50" t="n">
        <v>6</v>
      </c>
      <c r="N31" s="50" t="n">
        <v>9</v>
      </c>
      <c r="O31" s="50" t="n">
        <v>5</v>
      </c>
      <c r="P31" s="50" t="n">
        <v>8</v>
      </c>
      <c r="Q31" s="50" t="n">
        <v>8</v>
      </c>
      <c r="R31" s="50" t="n">
        <v>7</v>
      </c>
      <c r="S31" s="50" t="n">
        <v>7</v>
      </c>
      <c r="T31" s="50" t="n">
        <v>10</v>
      </c>
      <c r="U31" s="50" t="n">
        <v>10</v>
      </c>
      <c r="V31" s="50" t="n">
        <v>1</v>
      </c>
      <c r="W31" s="50" t="inlineStr">
        <is>
          <t>None</t>
        </is>
      </c>
      <c r="X31" s="50" t="inlineStr">
        <is>
          <t>Indoor</t>
        </is>
      </c>
      <c r="Y31" s="50" t="inlineStr">
        <is>
          <t>No</t>
        </is>
      </c>
      <c r="Z31" s="50" t="inlineStr">
        <is>
          <t>Low</t>
        </is>
      </c>
      <c r="AA31" s="50" t="inlineStr">
        <is>
          <t>5–10</t>
        </is>
      </c>
      <c r="AB31" s="50" t="inlineStr">
        <is>
          <t>Low</t>
        </is>
      </c>
      <c r="AC31" s="50" t="n">
        <v>7</v>
      </c>
      <c r="AD31" s="50" t="inlineStr">
        <is>
          <t>Yes</t>
        </is>
      </c>
      <c r="AE31" s="50" t="inlineStr">
        <is>
          <t>S44</t>
        </is>
      </c>
      <c r="AF31" s="50" t="inlineStr">
        <is>
          <t>495-player study (288M, 207F): men's elite typical fat mass 12–20%, muscle mass &gt;36–39%, mesomorphic-ectomorphic top-five players (S44). Physical-constraint profile flatter than other racquet sports — coordination and reaction dominate.</t>
        </is>
      </c>
      <c r="AG31" s="50" t="inlineStr">
        <is>
          <t>M</t>
        </is>
      </c>
    </row>
    <row r="32" ht="63.75" customHeight="1" s="37">
      <c r="A32" s="50" t="inlineStr">
        <is>
          <t>SP23</t>
        </is>
      </c>
      <c r="B32" s="50" t="inlineStr">
        <is>
          <t>Powerlifting</t>
        </is>
      </c>
      <c r="C32" s="50" t="inlineStr">
        <is>
          <t>Middleweight (~83–93 kg)</t>
        </is>
      </c>
      <c r="D32" s="50" t="inlineStr">
        <is>
          <t>Strength individual</t>
        </is>
      </c>
      <c r="E32" s="50" t="n">
        <v>174</v>
      </c>
      <c r="F32" s="50" t="n">
        <v>5</v>
      </c>
      <c r="G32" s="50" t="n">
        <v>90</v>
      </c>
      <c r="H32" s="50" t="n">
        <v>5</v>
      </c>
      <c r="I32" s="50" t="n">
        <v>29.7</v>
      </c>
      <c r="J32" s="50" t="n">
        <v>16</v>
      </c>
      <c r="K32" s="50" t="n"/>
      <c r="L32" s="50" t="n"/>
      <c r="M32" s="50" t="n">
        <v>3</v>
      </c>
      <c r="N32" s="50" t="n">
        <v>9</v>
      </c>
      <c r="O32" s="50" t="n">
        <v>10</v>
      </c>
      <c r="P32" s="50" t="n">
        <v>7</v>
      </c>
      <c r="Q32" s="50" t="n">
        <v>4</v>
      </c>
      <c r="R32" s="50" t="n">
        <v>3</v>
      </c>
      <c r="S32" s="50" t="n">
        <v>5</v>
      </c>
      <c r="T32" s="50" t="n">
        <v>7</v>
      </c>
      <c r="U32" s="50" t="n">
        <v>5</v>
      </c>
      <c r="V32" s="50" t="n">
        <v>1</v>
      </c>
      <c r="W32" s="50" t="inlineStr">
        <is>
          <t>None</t>
        </is>
      </c>
      <c r="X32" s="50" t="inlineStr">
        <is>
          <t>Indoor</t>
        </is>
      </c>
      <c r="Y32" s="50" t="inlineStr">
        <is>
          <t>No</t>
        </is>
      </c>
      <c r="Z32" s="50" t="inlineStr">
        <is>
          <t>Low</t>
        </is>
      </c>
      <c r="AA32" s="50" t="inlineStr">
        <is>
          <t>Any</t>
        </is>
      </c>
      <c r="AB32" s="50" t="inlineStr">
        <is>
          <t>Medium</t>
        </is>
      </c>
      <c r="AC32" s="50" t="n">
        <v>7</v>
      </c>
      <c r="AD32" s="50" t="inlineStr">
        <is>
          <t>Yes</t>
        </is>
      </c>
      <c r="AE32" s="50" t="inlineStr">
        <is>
          <t>S47</t>
        </is>
      </c>
      <c r="AF32" s="50" t="inlineStr">
        <is>
          <t>Oceania-region elite powerlifters across weight classes — highly mesomorphic with large girths and bony breadths; heavier lifters more endo-mesomorphic and disproportionately larger girths (S47). Shorter limbs vs height advantage lifters in absolute terms but is not strongly different across weight classes once Z-scaled.</t>
        </is>
      </c>
      <c r="AG32" s="50" t="inlineStr">
        <is>
          <t>M</t>
        </is>
      </c>
    </row>
    <row r="33" ht="63.75" customHeight="1" s="37">
      <c r="A33" s="50" t="inlineStr">
        <is>
          <t>SP24</t>
        </is>
      </c>
      <c r="B33" s="50" t="inlineStr">
        <is>
          <t>Olympic weightlifting</t>
        </is>
      </c>
      <c r="C33" s="50" t="inlineStr">
        <is>
          <t>Middleweight (~73–89 kg)</t>
        </is>
      </c>
      <c r="D33" s="50" t="inlineStr">
        <is>
          <t>Strength individual</t>
        </is>
      </c>
      <c r="E33" s="50" t="n">
        <v>170</v>
      </c>
      <c r="F33" s="50" t="n">
        <v>5</v>
      </c>
      <c r="G33" s="50" t="n">
        <v>81</v>
      </c>
      <c r="H33" s="50" t="n">
        <v>5</v>
      </c>
      <c r="I33" s="50" t="n">
        <v>28</v>
      </c>
      <c r="J33" s="50" t="n">
        <v>12</v>
      </c>
      <c r="K33" s="50" t="n"/>
      <c r="L33" s="50" t="n"/>
      <c r="M33" s="50" t="n">
        <v>3</v>
      </c>
      <c r="N33" s="50" t="n">
        <v>10</v>
      </c>
      <c r="O33" s="50" t="n">
        <v>10</v>
      </c>
      <c r="P33" s="50" t="n">
        <v>10</v>
      </c>
      <c r="Q33" s="50" t="n">
        <v>6</v>
      </c>
      <c r="R33" s="50" t="n">
        <v>3</v>
      </c>
      <c r="S33" s="50" t="n">
        <v>9</v>
      </c>
      <c r="T33" s="50" t="n">
        <v>9</v>
      </c>
      <c r="U33" s="50" t="n">
        <v>8</v>
      </c>
      <c r="V33" s="50" t="n">
        <v>1</v>
      </c>
      <c r="W33" s="50" t="inlineStr">
        <is>
          <t>None</t>
        </is>
      </c>
      <c r="X33" s="50" t="inlineStr">
        <is>
          <t>Indoor</t>
        </is>
      </c>
      <c r="Y33" s="50" t="inlineStr">
        <is>
          <t>No</t>
        </is>
      </c>
      <c r="Z33" s="50" t="inlineStr">
        <is>
          <t>Medium</t>
        </is>
      </c>
      <c r="AA33" s="50" t="inlineStr">
        <is>
          <t>10–16</t>
        </is>
      </c>
      <c r="AB33" s="50" t="inlineStr">
        <is>
          <t>Medium</t>
        </is>
      </c>
      <c r="AC33" s="50" t="n">
        <v>7</v>
      </c>
      <c r="AD33" s="50" t="inlineStr">
        <is>
          <t>Some</t>
        </is>
      </c>
      <c r="AE33" s="50" t="inlineStr">
        <is>
          <t>S48</t>
        </is>
      </c>
      <c r="AF33" s="50" t="inlineStr">
        <is>
          <t>World weightlifting champions cluster within tight body-mass bands by class; absolute strength scales with body mass^2/3 (S48). Shorter levers and exceptional ankle/hip/wrist mobility critical — flexibility demand much higher than powerlifting.</t>
        </is>
      </c>
      <c r="AG33" s="50" t="inlineStr">
        <is>
          <t>M</t>
        </is>
      </c>
    </row>
    <row r="34" ht="63.75" customHeight="1" s="37">
      <c r="A34" s="50" t="inlineStr">
        <is>
          <t>SP25</t>
        </is>
      </c>
      <c r="B34" s="50" t="inlineStr">
        <is>
          <t>Strongman</t>
        </is>
      </c>
      <c r="C34" s="50" t="inlineStr">
        <is>
          <t>Elite open class</t>
        </is>
      </c>
      <c r="D34" s="50" t="inlineStr">
        <is>
          <t>Strength individual</t>
        </is>
      </c>
      <c r="E34" s="50" t="n">
        <v>187.4</v>
      </c>
      <c r="F34" s="50" t="n">
        <v>7.1</v>
      </c>
      <c r="G34" s="50" t="n">
        <v>152.9</v>
      </c>
      <c r="H34" s="50" t="n">
        <v>19.3</v>
      </c>
      <c r="I34" s="50" t="n">
        <v>43.5</v>
      </c>
      <c r="J34" s="50" t="n">
        <v>18.7</v>
      </c>
      <c r="K34" s="50" t="n"/>
      <c r="L34" s="50" t="n"/>
      <c r="M34" s="50" t="n">
        <v>5</v>
      </c>
      <c r="N34" s="50" t="n">
        <v>9</v>
      </c>
      <c r="O34" s="50" t="n">
        <v>10</v>
      </c>
      <c r="P34" s="50" t="n">
        <v>8</v>
      </c>
      <c r="Q34" s="50" t="n">
        <v>5</v>
      </c>
      <c r="R34" s="50" t="n">
        <v>6</v>
      </c>
      <c r="S34" s="50" t="n">
        <v>4</v>
      </c>
      <c r="T34" s="50" t="n">
        <v>7</v>
      </c>
      <c r="U34" s="50" t="n">
        <v>5</v>
      </c>
      <c r="V34" s="50" t="n">
        <v>1</v>
      </c>
      <c r="W34" s="50" t="inlineStr">
        <is>
          <t>None</t>
        </is>
      </c>
      <c r="X34" s="50" t="inlineStr">
        <is>
          <t>Outdoor / indoor</t>
        </is>
      </c>
      <c r="Y34" s="50" t="inlineStr">
        <is>
          <t>No</t>
        </is>
      </c>
      <c r="Z34" s="50" t="inlineStr">
        <is>
          <t>Medium</t>
        </is>
      </c>
      <c r="AA34" s="50" t="inlineStr">
        <is>
          <t>20+</t>
        </is>
      </c>
      <c r="AB34" s="50" t="inlineStr">
        <is>
          <t>High</t>
        </is>
      </c>
      <c r="AC34" s="50" t="n">
        <v>5</v>
      </c>
      <c r="AD34" s="50" t="inlineStr">
        <is>
          <t>Some</t>
        </is>
      </c>
      <c r="AE34" s="50" t="inlineStr">
        <is>
          <t>S49</t>
        </is>
      </c>
      <c r="AF34" s="50" t="inlineStr">
        <is>
          <t>DXA cohort (n=18, 5 years): 187.4 ± 7.1 cm / 152.9 ± 19.3 kg / BMI 43.5 ± 4.8 / lean mass 118.0 ± 11.7 kg / BF 18.7 ± 6.2% (S49). Among the largest male athletes in any sport. Bone mineral density 1.78 ± 0.14 g/cm² — extreme structural remodelling.</t>
        </is>
      </c>
      <c r="AG34" s="50" t="inlineStr">
        <is>
          <t>M</t>
        </is>
      </c>
    </row>
    <row r="35" ht="63.75" customHeight="1" s="37">
      <c r="A35" s="50" t="inlineStr">
        <is>
          <t>SP03F</t>
        </is>
      </c>
      <c r="B35" s="50" t="inlineStr">
        <is>
          <t>Distance running</t>
        </is>
      </c>
      <c r="C35" s="50" t="inlineStr">
        <is>
          <t>Long-distance (marathon, female)</t>
        </is>
      </c>
      <c r="D35" s="50" t="inlineStr">
        <is>
          <t>Endurance individual</t>
        </is>
      </c>
      <c r="E35" s="50" t="n">
        <v>165</v>
      </c>
      <c r="F35" s="50" t="n">
        <v>5</v>
      </c>
      <c r="G35" s="50" t="n">
        <v>51</v>
      </c>
      <c r="H35" s="50" t="n">
        <v>5</v>
      </c>
      <c r="I35" s="50" t="n">
        <v>18.7</v>
      </c>
      <c r="J35" s="50" t="n">
        <v>14</v>
      </c>
      <c r="K35" s="50" t="n"/>
      <c r="L35" s="50" t="n"/>
      <c r="M35" s="50" t="n">
        <v>10</v>
      </c>
      <c r="N35" s="50" t="n">
        <v>3</v>
      </c>
      <c r="O35" s="50" t="n">
        <v>2</v>
      </c>
      <c r="P35" s="50" t="n">
        <v>3</v>
      </c>
      <c r="Q35" s="50" t="n">
        <v>4</v>
      </c>
      <c r="R35" s="50" t="n">
        <v>10</v>
      </c>
      <c r="S35" s="50" t="n">
        <v>5</v>
      </c>
      <c r="T35" s="50" t="n">
        <v>4</v>
      </c>
      <c r="U35" s="50" t="n">
        <v>3</v>
      </c>
      <c r="V35" s="50" t="n">
        <v>1</v>
      </c>
      <c r="W35" s="50" t="inlineStr">
        <is>
          <t>None</t>
        </is>
      </c>
      <c r="X35" s="50" t="inlineStr">
        <is>
          <t>Outdoor</t>
        </is>
      </c>
      <c r="Y35" s="50" t="inlineStr">
        <is>
          <t>No</t>
        </is>
      </c>
      <c r="Z35" s="50" t="inlineStr">
        <is>
          <t>Low</t>
        </is>
      </c>
      <c r="AA35" s="50" t="inlineStr">
        <is>
          <t>Any</t>
        </is>
      </c>
      <c r="AB35" s="50" t="inlineStr">
        <is>
          <t>Medium</t>
        </is>
      </c>
      <c r="AC35" s="50" t="n">
        <v>10</v>
      </c>
      <c r="AD35" s="50" t="inlineStr">
        <is>
          <t>Yes</t>
        </is>
      </c>
      <c r="AE35" s="50" t="inlineStr">
        <is>
          <t>S08</t>
        </is>
      </c>
      <c r="AF35" s="50" t="inlineStr">
        <is>
          <t>Elite female marathoners 158–175 cm / 43–59 kg, BMI 17–21 (S08). Female-specific physiological referents apply — VO2max lower in absolute terms but similar trained gaps.</t>
        </is>
      </c>
      <c r="AG35" s="50" t="inlineStr">
        <is>
          <t>F</t>
        </is>
      </c>
    </row>
    <row r="36" ht="63.75" customHeight="1" s="37">
      <c r="A36" s="50" t="inlineStr">
        <is>
          <t>SP05F</t>
        </is>
      </c>
      <c r="B36" s="50" t="inlineStr">
        <is>
          <t>Swimming</t>
        </is>
      </c>
      <c r="C36" s="50" t="inlineStr">
        <is>
          <t>Pool freestyle (female)</t>
        </is>
      </c>
      <c r="D36" s="50" t="inlineStr">
        <is>
          <t>Endurance individual</t>
        </is>
      </c>
      <c r="E36" s="50" t="n">
        <v>173</v>
      </c>
      <c r="F36" s="50" t="n">
        <v>6</v>
      </c>
      <c r="G36" s="50" t="n">
        <v>63</v>
      </c>
      <c r="H36" s="50" t="n">
        <v>5</v>
      </c>
      <c r="I36" s="50" t="n">
        <v>21</v>
      </c>
      <c r="J36" s="50" t="n">
        <v>15.8</v>
      </c>
      <c r="K36" s="50" t="n">
        <v>1.04</v>
      </c>
      <c r="L36" s="50" t="n"/>
      <c r="M36" s="50" t="n">
        <v>9</v>
      </c>
      <c r="N36" s="50" t="n">
        <v>8</v>
      </c>
      <c r="O36" s="50" t="n">
        <v>6</v>
      </c>
      <c r="P36" s="50" t="n">
        <v>8</v>
      </c>
      <c r="Q36" s="50" t="n">
        <v>8</v>
      </c>
      <c r="R36" s="50" t="n">
        <v>9</v>
      </c>
      <c r="S36" s="50" t="n">
        <v>8</v>
      </c>
      <c r="T36" s="50" t="n">
        <v>7</v>
      </c>
      <c r="U36" s="50" t="n">
        <v>6</v>
      </c>
      <c r="V36" s="50" t="n">
        <v>1</v>
      </c>
      <c r="W36" s="50" t="inlineStr">
        <is>
          <t>None</t>
        </is>
      </c>
      <c r="X36" s="50" t="inlineStr">
        <is>
          <t>Indoor</t>
        </is>
      </c>
      <c r="Y36" s="50" t="inlineStr">
        <is>
          <t>Yes</t>
        </is>
      </c>
      <c r="Z36" s="50" t="inlineStr">
        <is>
          <t>Low</t>
        </is>
      </c>
      <c r="AA36" s="50" t="inlineStr">
        <is>
          <t>4–8</t>
        </is>
      </c>
      <c r="AB36" s="50" t="inlineStr">
        <is>
          <t>Low</t>
        </is>
      </c>
      <c r="AC36" s="50" t="n">
        <v>8</v>
      </c>
      <c r="AD36" s="50" t="inlineStr">
        <is>
          <t>Yes</t>
        </is>
      </c>
      <c r="AE36" s="50" t="inlineStr">
        <is>
          <t>S13, S14</t>
        </is>
      </c>
      <c r="AF36" s="50" t="inlineStr">
        <is>
          <t>University and elite female swimmers: 173.4 cm / 62.8 kg / BF ~15.8% (S13). Open-water French/Australian elite female cohorts 64.7 ± 10.8 kg (S14).</t>
        </is>
      </c>
      <c r="AG36" s="50" t="inlineStr">
        <is>
          <t>F</t>
        </is>
      </c>
    </row>
    <row r="37" ht="63.75" customHeight="1" s="37">
      <c r="A37" s="50" t="inlineStr">
        <is>
          <t>SP08F</t>
        </is>
      </c>
      <c r="B37" s="50" t="inlineStr">
        <is>
          <t>Rowing</t>
        </is>
      </c>
      <c r="C37" s="50" t="inlineStr">
        <is>
          <t>Heavyweight (female)</t>
        </is>
      </c>
      <c r="D37" s="50" t="inlineStr">
        <is>
          <t>Endurance team / pair</t>
        </is>
      </c>
      <c r="E37" s="50" t="n">
        <v>180</v>
      </c>
      <c r="F37" s="50" t="n">
        <v>5</v>
      </c>
      <c r="G37" s="50" t="n">
        <v>78</v>
      </c>
      <c r="H37" s="50" t="n">
        <v>6</v>
      </c>
      <c r="I37" s="50" t="n">
        <v>24.1</v>
      </c>
      <c r="J37" s="50" t="n">
        <v>16</v>
      </c>
      <c r="K37" s="50" t="n">
        <v>1.04</v>
      </c>
      <c r="L37" s="50" t="n"/>
      <c r="M37" s="50" t="n">
        <v>10</v>
      </c>
      <c r="N37" s="50" t="n">
        <v>8</v>
      </c>
      <c r="O37" s="50" t="n">
        <v>9</v>
      </c>
      <c r="P37" s="50" t="n">
        <v>8</v>
      </c>
      <c r="Q37" s="50" t="n">
        <v>4</v>
      </c>
      <c r="R37" s="50" t="n">
        <v>9</v>
      </c>
      <c r="S37" s="50" t="n">
        <v>5</v>
      </c>
      <c r="T37" s="50" t="n">
        <v>7</v>
      </c>
      <c r="U37" s="50" t="n">
        <v>5</v>
      </c>
      <c r="V37" s="50" t="n">
        <v>8</v>
      </c>
      <c r="W37" s="50" t="inlineStr">
        <is>
          <t>None</t>
        </is>
      </c>
      <c r="X37" s="50" t="inlineStr">
        <is>
          <t>Outdoor</t>
        </is>
      </c>
      <c r="Y37" s="50" t="inlineStr">
        <is>
          <t>Yes</t>
        </is>
      </c>
      <c r="Z37" s="50" t="inlineStr">
        <is>
          <t>High</t>
        </is>
      </c>
      <c r="AA37" s="50" t="inlineStr">
        <is>
          <t>12–16</t>
        </is>
      </c>
      <c r="AB37" s="50" t="inlineStr">
        <is>
          <t>Medium</t>
        </is>
      </c>
      <c r="AC37" s="50" t="n">
        <v>7</v>
      </c>
      <c r="AD37" s="50" t="inlineStr">
        <is>
          <t>Some</t>
        </is>
      </c>
      <c r="AE37" s="50" t="inlineStr">
        <is>
          <t>S21, S22</t>
        </is>
      </c>
      <c r="AF37" s="50" t="inlineStr">
        <is>
          <t>Female heavyweight elite rowers cluster slightly shorter and lighter than male counterparts but retain the long-wingspan / long-torso profile. Schema placeholder — discipline-specific female data thinner; targeted citation pass needed in v0.3.</t>
        </is>
      </c>
      <c r="AG37" s="50" t="inlineStr">
        <is>
          <t>F</t>
        </is>
      </c>
    </row>
    <row r="38" ht="63.75" customHeight="1" s="37">
      <c r="A38" s="50" t="inlineStr">
        <is>
          <t>SP11F</t>
        </is>
      </c>
      <c r="B38" s="50" t="inlineStr">
        <is>
          <t>Sprinting (track)</t>
        </is>
      </c>
      <c r="C38" s="50" t="inlineStr">
        <is>
          <t>100 m (female)</t>
        </is>
      </c>
      <c r="D38" s="50" t="inlineStr">
        <is>
          <t>Individual power-speed</t>
        </is>
      </c>
      <c r="E38" s="50" t="n">
        <v>168</v>
      </c>
      <c r="F38" s="50" t="n">
        <v>6</v>
      </c>
      <c r="G38" s="50" t="n">
        <v>60</v>
      </c>
      <c r="H38" s="50" t="n">
        <v>6</v>
      </c>
      <c r="I38" s="50" t="n">
        <v>21.3</v>
      </c>
      <c r="J38" s="50" t="n">
        <v>13</v>
      </c>
      <c r="K38" s="50" t="n"/>
      <c r="L38" s="50" t="n"/>
      <c r="M38" s="50" t="n">
        <v>3</v>
      </c>
      <c r="N38" s="50" t="n">
        <v>10</v>
      </c>
      <c r="O38" s="50" t="n">
        <v>9</v>
      </c>
      <c r="P38" s="50" t="n">
        <v>10</v>
      </c>
      <c r="Q38" s="50" t="n">
        <v>10</v>
      </c>
      <c r="R38" s="50" t="n">
        <v>2</v>
      </c>
      <c r="S38" s="50" t="n">
        <v>7</v>
      </c>
      <c r="T38" s="50" t="n">
        <v>8</v>
      </c>
      <c r="U38" s="50" t="n">
        <v>10</v>
      </c>
      <c r="V38" s="50" t="n">
        <v>1</v>
      </c>
      <c r="W38" s="50" t="inlineStr">
        <is>
          <t>None</t>
        </is>
      </c>
      <c r="X38" s="50" t="inlineStr">
        <is>
          <t>Outdoor</t>
        </is>
      </c>
      <c r="Y38" s="50" t="inlineStr">
        <is>
          <t>No</t>
        </is>
      </c>
      <c r="Z38" s="50" t="inlineStr">
        <is>
          <t>Low</t>
        </is>
      </c>
      <c r="AA38" s="50" t="inlineStr">
        <is>
          <t>10–14</t>
        </is>
      </c>
      <c r="AB38" s="50" t="inlineStr">
        <is>
          <t>Medium</t>
        </is>
      </c>
      <c r="AC38" s="50" t="n">
        <v>7</v>
      </c>
      <c r="AD38" s="50" t="inlineStr">
        <is>
          <t>Some</t>
        </is>
      </c>
      <c r="AE38" s="50" t="inlineStr">
        <is>
          <t>S27, S28</t>
        </is>
      </c>
      <c r="AF38" s="50" t="inlineStr">
        <is>
          <t>US elite female 100m sprinters in cohort means with BMI ~21 (S28 mixed-sex sample). Similar somatotype emphasis (high mesomorphy, ~70–80% type II fibres typical).</t>
        </is>
      </c>
      <c r="AG38" s="50" t="inlineStr">
        <is>
          <t>F</t>
        </is>
      </c>
    </row>
    <row r="39" ht="63.75" customHeight="1" s="37">
      <c r="A39" s="50" t="inlineStr">
        <is>
          <t>SP26</t>
        </is>
      </c>
      <c r="B39" s="50" t="inlineStr">
        <is>
          <t>Cross-country skiing</t>
        </is>
      </c>
      <c r="C39" s="50" t="inlineStr">
        <is>
          <t>Senior elite (male)</t>
        </is>
      </c>
      <c r="D39" s="50" t="inlineStr">
        <is>
          <t>Endurance individual / pursuit</t>
        </is>
      </c>
      <c r="E39" s="50" t="n">
        <v>183</v>
      </c>
      <c r="F39" s="50" t="n">
        <v>4</v>
      </c>
      <c r="G39" s="50" t="n">
        <v>78</v>
      </c>
      <c r="H39" s="50" t="n">
        <v>7</v>
      </c>
      <c r="I39" s="50" t="n">
        <v>23</v>
      </c>
      <c r="J39" s="50" t="n">
        <v>9</v>
      </c>
      <c r="K39" s="50" t="n"/>
      <c r="L39" s="50" t="n"/>
      <c r="M39" s="50" t="n">
        <v>10</v>
      </c>
      <c r="N39" s="50" t="n">
        <v>7</v>
      </c>
      <c r="O39" s="50" t="n">
        <v>7</v>
      </c>
      <c r="P39" s="50" t="n">
        <v>7</v>
      </c>
      <c r="Q39" s="50" t="n">
        <v>6</v>
      </c>
      <c r="R39" s="50" t="n">
        <v>10</v>
      </c>
      <c r="S39" s="50" t="n">
        <v>6</v>
      </c>
      <c r="T39" s="50" t="n">
        <v>8</v>
      </c>
      <c r="U39" s="50" t="n">
        <v>6</v>
      </c>
      <c r="V39" s="50" t="n">
        <v>1</v>
      </c>
      <c r="W39" s="50" t="inlineStr">
        <is>
          <t>None</t>
        </is>
      </c>
      <c r="X39" s="50" t="inlineStr">
        <is>
          <t>Outdoor</t>
        </is>
      </c>
      <c r="Y39" s="50" t="inlineStr">
        <is>
          <t>No</t>
        </is>
      </c>
      <c r="Z39" s="50" t="inlineStr">
        <is>
          <t>High</t>
        </is>
      </c>
      <c r="AA39" s="50" t="inlineStr">
        <is>
          <t>6–12</t>
        </is>
      </c>
      <c r="AB39" s="50" t="inlineStr">
        <is>
          <t>Medium</t>
        </is>
      </c>
      <c r="AC39" s="50" t="n">
        <v>2</v>
      </c>
      <c r="AD39" s="50" t="inlineStr">
        <is>
          <t>No</t>
        </is>
      </c>
      <c r="AE39" s="50" t="inlineStr">
        <is>
          <t>S53, S54</t>
        </is>
      </c>
      <c r="AF39" s="50" t="inlineStr">
        <is>
          <t>Norwegian elite: 183 ± 4 cm / 78.4 ± 7.3 kg (S53). Russian elite XC BMI 23.0 ± 3.3 (S54). Whole-body lean mass critical — both upper- and lower-body propulsion. Heavier than distance runners but lighter than rowers.</t>
        </is>
      </c>
      <c r="AG39" s="50" t="inlineStr">
        <is>
          <t>M</t>
        </is>
      </c>
    </row>
    <row r="40" ht="63.75" customHeight="1" s="37">
      <c r="A40" s="50" t="inlineStr">
        <is>
          <t>SP26F</t>
        </is>
      </c>
      <c r="B40" s="50" t="inlineStr">
        <is>
          <t>Cross-country skiing</t>
        </is>
      </c>
      <c r="C40" s="50" t="inlineStr">
        <is>
          <t>Senior elite (female)</t>
        </is>
      </c>
      <c r="D40" s="50" t="inlineStr">
        <is>
          <t>Endurance individual / pursuit</t>
        </is>
      </c>
      <c r="E40" s="50" t="n">
        <v>170</v>
      </c>
      <c r="F40" s="50" t="n">
        <v>6</v>
      </c>
      <c r="G40" s="50" t="n">
        <v>65</v>
      </c>
      <c r="H40" s="50" t="n">
        <v>6</v>
      </c>
      <c r="I40" s="50" t="n">
        <v>22.5</v>
      </c>
      <c r="J40" s="50" t="n">
        <v>14</v>
      </c>
      <c r="K40" s="50" t="n"/>
      <c r="L40" s="50" t="n"/>
      <c r="M40" s="50" t="n">
        <v>10</v>
      </c>
      <c r="N40" s="50" t="n">
        <v>7</v>
      </c>
      <c r="O40" s="50" t="n">
        <v>7</v>
      </c>
      <c r="P40" s="50" t="n">
        <v>7</v>
      </c>
      <c r="Q40" s="50" t="n">
        <v>6</v>
      </c>
      <c r="R40" s="50" t="n">
        <v>10</v>
      </c>
      <c r="S40" s="50" t="n">
        <v>6</v>
      </c>
      <c r="T40" s="50" t="n">
        <v>8</v>
      </c>
      <c r="U40" s="50" t="n">
        <v>6</v>
      </c>
      <c r="V40" s="50" t="n">
        <v>1</v>
      </c>
      <c r="W40" s="50" t="inlineStr">
        <is>
          <t>None</t>
        </is>
      </c>
      <c r="X40" s="50" t="inlineStr">
        <is>
          <t>Outdoor</t>
        </is>
      </c>
      <c r="Y40" s="50" t="inlineStr">
        <is>
          <t>No</t>
        </is>
      </c>
      <c r="Z40" s="50" t="inlineStr">
        <is>
          <t>High</t>
        </is>
      </c>
      <c r="AA40" s="50" t="inlineStr">
        <is>
          <t>6–12</t>
        </is>
      </c>
      <c r="AB40" s="50" t="inlineStr">
        <is>
          <t>Medium</t>
        </is>
      </c>
      <c r="AC40" s="50" t="n">
        <v>2</v>
      </c>
      <c r="AD40" s="50" t="inlineStr">
        <is>
          <t>No</t>
        </is>
      </c>
      <c r="AE40" s="50" t="inlineStr">
        <is>
          <t>S53, S54</t>
        </is>
      </c>
      <c r="AF40" s="50" t="inlineStr">
        <is>
          <t>Norwegian elite female: 170 ± 6 cm / 65.2 ± 5.9 kg (S53). Female XC skiers tend to lower BMI than non-athletic peers.</t>
        </is>
      </c>
      <c r="AG40" s="50" t="inlineStr">
        <is>
          <t>F</t>
        </is>
      </c>
    </row>
    <row r="41" ht="63.75" customHeight="1" s="37">
      <c r="A41" s="50" t="inlineStr">
        <is>
          <t>SP27</t>
        </is>
      </c>
      <c r="B41" s="50" t="inlineStr">
        <is>
          <t>Biathlon</t>
        </is>
      </c>
      <c r="C41" s="50" t="inlineStr">
        <is>
          <t>Senior elite (male)</t>
        </is>
      </c>
      <c r="D41" s="50" t="inlineStr">
        <is>
          <t>Endurance individual / pursuit</t>
        </is>
      </c>
      <c r="E41" s="50" t="n">
        <v>181</v>
      </c>
      <c r="F41" s="50" t="n">
        <v>6</v>
      </c>
      <c r="G41" s="50" t="n">
        <v>73</v>
      </c>
      <c r="H41" s="50" t="n">
        <v>6</v>
      </c>
      <c r="I41" s="50" t="n">
        <v>22.4</v>
      </c>
      <c r="J41" s="50" t="n">
        <v>13</v>
      </c>
      <c r="K41" s="50" t="n"/>
      <c r="L41" s="50" t="n"/>
      <c r="M41" s="50" t="n">
        <v>10</v>
      </c>
      <c r="N41" s="50" t="n">
        <v>7</v>
      </c>
      <c r="O41" s="50" t="n">
        <v>6</v>
      </c>
      <c r="P41" s="50" t="n">
        <v>6</v>
      </c>
      <c r="Q41" s="50" t="n">
        <v>5</v>
      </c>
      <c r="R41" s="50" t="n">
        <v>10</v>
      </c>
      <c r="S41" s="50" t="n">
        <v>6</v>
      </c>
      <c r="T41" s="50" t="n">
        <v>9</v>
      </c>
      <c r="U41" s="50" t="n">
        <v>9</v>
      </c>
      <c r="V41" s="50" t="n">
        <v>1</v>
      </c>
      <c r="W41" s="50" t="inlineStr">
        <is>
          <t>None</t>
        </is>
      </c>
      <c r="X41" s="50" t="inlineStr">
        <is>
          <t>Outdoor</t>
        </is>
      </c>
      <c r="Y41" s="50" t="inlineStr">
        <is>
          <t>No</t>
        </is>
      </c>
      <c r="Z41" s="50" t="inlineStr">
        <is>
          <t>High</t>
        </is>
      </c>
      <c r="AA41" s="50" t="inlineStr">
        <is>
          <t>8–14</t>
        </is>
      </c>
      <c r="AB41" s="50" t="inlineStr">
        <is>
          <t>Medium</t>
        </is>
      </c>
      <c r="AC41" s="50" t="n">
        <v>1</v>
      </c>
      <c r="AD41" s="50" t="inlineStr">
        <is>
          <t>No</t>
        </is>
      </c>
      <c r="AE41" s="50" t="inlineStr">
        <is>
          <t>S54, S55</t>
        </is>
      </c>
      <c r="AF41" s="50" t="inlineStr">
        <is>
          <t>Biathletes 73.6 ± 6.5 kg, muscle mass 83% of BM (S55). Lower endurance training volume than XC skiers (547 vs 779 h/yr) (S54). Reaction and fine-motor control (rifle) raise coordination demand above pure XC.</t>
        </is>
      </c>
      <c r="AG41" s="50" t="inlineStr">
        <is>
          <t>M</t>
        </is>
      </c>
    </row>
    <row r="42" ht="63.75" customHeight="1" s="37">
      <c r="A42" s="50" t="inlineStr">
        <is>
          <t>SP28</t>
        </is>
      </c>
      <c r="B42" s="50" t="inlineStr">
        <is>
          <t>Alpine skiing</t>
        </is>
      </c>
      <c r="C42" s="50" t="inlineStr">
        <is>
          <t>Technical (slalom / GS, male)</t>
        </is>
      </c>
      <c r="D42" s="50" t="inlineStr">
        <is>
          <t>Power-speed individual</t>
        </is>
      </c>
      <c r="E42" s="50" t="n">
        <v>178</v>
      </c>
      <c r="F42" s="50" t="n">
        <v>5</v>
      </c>
      <c r="G42" s="50" t="n">
        <v>80</v>
      </c>
      <c r="H42" s="50" t="n">
        <v>6</v>
      </c>
      <c r="I42" s="50" t="n">
        <v>25.2</v>
      </c>
      <c r="J42" s="50" t="n">
        <v>12</v>
      </c>
      <c r="K42" s="50" t="n"/>
      <c r="L42" s="50" t="n"/>
      <c r="M42" s="50" t="n">
        <v>6</v>
      </c>
      <c r="N42" s="50" t="n">
        <v>9</v>
      </c>
      <c r="O42" s="50" t="n">
        <v>9</v>
      </c>
      <c r="P42" s="50" t="n">
        <v>9</v>
      </c>
      <c r="Q42" s="50" t="n">
        <v>8</v>
      </c>
      <c r="R42" s="50" t="n">
        <v>6</v>
      </c>
      <c r="S42" s="50" t="n">
        <v>6</v>
      </c>
      <c r="T42" s="50" t="n">
        <v>9</v>
      </c>
      <c r="U42" s="50" t="n">
        <v>9</v>
      </c>
      <c r="V42" s="50" t="n">
        <v>1</v>
      </c>
      <c r="W42" s="50" t="inlineStr">
        <is>
          <t>Light</t>
        </is>
      </c>
      <c r="X42" s="50" t="inlineStr">
        <is>
          <t>Outdoor</t>
        </is>
      </c>
      <c r="Y42" s="50" t="inlineStr">
        <is>
          <t>No</t>
        </is>
      </c>
      <c r="Z42" s="50" t="inlineStr">
        <is>
          <t>High</t>
        </is>
      </c>
      <c r="AA42" s="50" t="inlineStr">
        <is>
          <t>5–10</t>
        </is>
      </c>
      <c r="AB42" s="50" t="inlineStr">
        <is>
          <t>High</t>
        </is>
      </c>
      <c r="AC42" s="50" t="n">
        <v>1</v>
      </c>
      <c r="AD42" s="50" t="inlineStr">
        <is>
          <t>No</t>
        </is>
      </c>
      <c r="AE42" s="50" t="inlineStr">
        <is>
          <t>S56, S57</t>
        </is>
      </c>
      <c r="AF42" s="50" t="inlineStr">
        <is>
          <t>Technical specialists shorter and lighter than speed specialists (S56). Sochi 2014 alpine skiers reported in S57. Quick edge-to-edge change of direction favours compact, powerful build.</t>
        </is>
      </c>
      <c r="AG42" s="50" t="inlineStr">
        <is>
          <t>M</t>
        </is>
      </c>
    </row>
    <row r="43" ht="63.75" customHeight="1" s="37">
      <c r="A43" s="50" t="inlineStr">
        <is>
          <t>SP28b</t>
        </is>
      </c>
      <c r="B43" s="50" t="inlineStr">
        <is>
          <t>Alpine skiing</t>
        </is>
      </c>
      <c r="C43" s="50" t="inlineStr">
        <is>
          <t>Speed (super-G / downhill, male)</t>
        </is>
      </c>
      <c r="D43" s="50" t="inlineStr">
        <is>
          <t>Power-speed individual</t>
        </is>
      </c>
      <c r="E43" s="50" t="n">
        <v>184</v>
      </c>
      <c r="F43" s="50" t="n">
        <v>5</v>
      </c>
      <c r="G43" s="50" t="n">
        <v>88</v>
      </c>
      <c r="H43" s="50" t="n">
        <v>8</v>
      </c>
      <c r="I43" s="50" t="n">
        <v>26</v>
      </c>
      <c r="J43" s="50" t="n">
        <v>14</v>
      </c>
      <c r="K43" s="50" t="n"/>
      <c r="L43" s="50" t="n"/>
      <c r="M43" s="50" t="n">
        <v>6</v>
      </c>
      <c r="N43" s="50" t="n">
        <v>9</v>
      </c>
      <c r="O43" s="50" t="n">
        <v>9</v>
      </c>
      <c r="P43" s="50" t="n">
        <v>9</v>
      </c>
      <c r="Q43" s="50" t="n">
        <v>8</v>
      </c>
      <c r="R43" s="50" t="n">
        <v>7</v>
      </c>
      <c r="S43" s="50" t="n">
        <v>5</v>
      </c>
      <c r="T43" s="50" t="n">
        <v>8</v>
      </c>
      <c r="U43" s="50" t="n">
        <v>9</v>
      </c>
      <c r="V43" s="50" t="n">
        <v>1</v>
      </c>
      <c r="W43" s="50" t="inlineStr">
        <is>
          <t>Light</t>
        </is>
      </c>
      <c r="X43" s="50" t="inlineStr">
        <is>
          <t>Outdoor</t>
        </is>
      </c>
      <c r="Y43" s="50" t="inlineStr">
        <is>
          <t>No</t>
        </is>
      </c>
      <c r="Z43" s="50" t="inlineStr">
        <is>
          <t>High</t>
        </is>
      </c>
      <c r="AA43" s="50" t="inlineStr">
        <is>
          <t>5–10</t>
        </is>
      </c>
      <c r="AB43" s="50" t="inlineStr">
        <is>
          <t>High</t>
        </is>
      </c>
      <c r="AC43" s="50" t="n">
        <v>1</v>
      </c>
      <c r="AD43" s="50" t="inlineStr">
        <is>
          <t>No</t>
        </is>
      </c>
      <c r="AE43" s="50" t="inlineStr">
        <is>
          <t>S56, S57</t>
        </is>
      </c>
      <c r="AF43" s="50" t="inlineStr">
        <is>
          <t>Speed specialists heavier and more endomorphic than technical specialists (S56). Higher body mass aids gravity-driven speed but limits agility — distinct profile.</t>
        </is>
      </c>
      <c r="AG43" s="50" t="inlineStr">
        <is>
          <t>M</t>
        </is>
      </c>
    </row>
    <row r="44" ht="63.75" customHeight="1" s="37">
      <c r="A44" s="50" t="inlineStr">
        <is>
          <t>SP29</t>
        </is>
      </c>
      <c r="B44" s="50" t="inlineStr">
        <is>
          <t>Ice hockey</t>
        </is>
      </c>
      <c r="C44" s="50" t="inlineStr">
        <is>
          <t>Forwards (male)</t>
        </is>
      </c>
      <c r="D44" s="50" t="inlineStr">
        <is>
          <t>Team contact ice</t>
        </is>
      </c>
      <c r="E44" s="50" t="n">
        <v>183</v>
      </c>
      <c r="F44" s="50" t="n">
        <v>6</v>
      </c>
      <c r="G44" s="50" t="n">
        <v>89</v>
      </c>
      <c r="H44" s="50" t="n">
        <v>7</v>
      </c>
      <c r="I44" s="50" t="n">
        <v>26.6</v>
      </c>
      <c r="J44" s="50" t="n">
        <v>12</v>
      </c>
      <c r="K44" s="50" t="n"/>
      <c r="L44" s="50" t="n"/>
      <c r="M44" s="50" t="n">
        <v>8</v>
      </c>
      <c r="N44" s="50" t="n">
        <v>9</v>
      </c>
      <c r="O44" s="50" t="n">
        <v>8</v>
      </c>
      <c r="P44" s="50" t="n">
        <v>9</v>
      </c>
      <c r="Q44" s="50" t="n">
        <v>9</v>
      </c>
      <c r="R44" s="50" t="n">
        <v>7</v>
      </c>
      <c r="S44" s="50" t="n">
        <v>5</v>
      </c>
      <c r="T44" s="50" t="n">
        <v>9</v>
      </c>
      <c r="U44" s="50" t="n">
        <v>9</v>
      </c>
      <c r="V44" s="50" t="n">
        <v>6</v>
      </c>
      <c r="W44" s="50" t="inlineStr">
        <is>
          <t>Heavy</t>
        </is>
      </c>
      <c r="X44" s="50" t="inlineStr">
        <is>
          <t>Indoor</t>
        </is>
      </c>
      <c r="Y44" s="50" t="inlineStr">
        <is>
          <t>No</t>
        </is>
      </c>
      <c r="Z44" s="50" t="inlineStr">
        <is>
          <t>High</t>
        </is>
      </c>
      <c r="AA44" s="50" t="inlineStr">
        <is>
          <t>5–10</t>
        </is>
      </c>
      <c r="AB44" s="50" t="inlineStr">
        <is>
          <t>High</t>
        </is>
      </c>
      <c r="AC44" s="50" t="n">
        <v>4</v>
      </c>
      <c r="AD44" s="50" t="inlineStr">
        <is>
          <t>Some</t>
        </is>
      </c>
      <c r="AE44" s="50" t="inlineStr">
        <is>
          <t>S58, S57</t>
        </is>
      </c>
      <c r="AF44" s="50" t="inlineStr">
        <is>
          <t>KHL forwards 183 ± 5.6 cm / 89.7 ± 5.3 kg (S58). ELH similar. Sochi 2014 ice hockey tallest of all winter sports — Chara at 206 cm (S57).</t>
        </is>
      </c>
      <c r="AG44" s="50" t="inlineStr">
        <is>
          <t>M</t>
        </is>
      </c>
    </row>
    <row r="45" ht="63.75" customHeight="1" s="37">
      <c r="A45" s="50" t="inlineStr">
        <is>
          <t>SP29b</t>
        </is>
      </c>
      <c r="B45" s="50" t="inlineStr">
        <is>
          <t>Ice hockey</t>
        </is>
      </c>
      <c r="C45" s="50" t="inlineStr">
        <is>
          <t>Defensemen (male)</t>
        </is>
      </c>
      <c r="D45" s="50" t="inlineStr">
        <is>
          <t>Team contact ice</t>
        </is>
      </c>
      <c r="E45" s="50" t="n">
        <v>186</v>
      </c>
      <c r="F45" s="50" t="n">
        <v>5</v>
      </c>
      <c r="G45" s="50" t="n">
        <v>92</v>
      </c>
      <c r="H45" s="50" t="n">
        <v>6</v>
      </c>
      <c r="I45" s="50" t="n">
        <v>26.6</v>
      </c>
      <c r="J45" s="50" t="n">
        <v>12</v>
      </c>
      <c r="K45" s="50" t="n"/>
      <c r="L45" s="50" t="n"/>
      <c r="M45" s="50" t="n">
        <v>8</v>
      </c>
      <c r="N45" s="50" t="n">
        <v>9</v>
      </c>
      <c r="O45" s="50" t="n">
        <v>9</v>
      </c>
      <c r="P45" s="50" t="n">
        <v>9</v>
      </c>
      <c r="Q45" s="50" t="n">
        <v>8</v>
      </c>
      <c r="R45" s="50" t="n">
        <v>7</v>
      </c>
      <c r="S45" s="50" t="n">
        <v>5</v>
      </c>
      <c r="T45" s="50" t="n">
        <v>8</v>
      </c>
      <c r="U45" s="50" t="n">
        <v>8</v>
      </c>
      <c r="V45" s="50" t="n">
        <v>6</v>
      </c>
      <c r="W45" s="50" t="inlineStr">
        <is>
          <t>Heavy</t>
        </is>
      </c>
      <c r="X45" s="50" t="inlineStr">
        <is>
          <t>Indoor</t>
        </is>
      </c>
      <c r="Y45" s="50" t="inlineStr">
        <is>
          <t>No</t>
        </is>
      </c>
      <c r="Z45" s="50" t="inlineStr">
        <is>
          <t>High</t>
        </is>
      </c>
      <c r="AA45" s="50" t="inlineStr">
        <is>
          <t>5–10</t>
        </is>
      </c>
      <c r="AB45" s="50" t="inlineStr">
        <is>
          <t>High</t>
        </is>
      </c>
      <c r="AC45" s="50" t="n">
        <v>4</v>
      </c>
      <c r="AD45" s="50" t="inlineStr">
        <is>
          <t>Some</t>
        </is>
      </c>
      <c r="AE45" s="50" t="inlineStr">
        <is>
          <t>S58</t>
        </is>
      </c>
      <c r="AF45" s="50" t="inlineStr">
        <is>
          <t>KHL defensemen 185.7 ± 3.6 cm / 92.5 ± 4.0 kg (S58). Slightly taller and heavier than forwards across both KHL and ELH cohorts.</t>
        </is>
      </c>
      <c r="AG45" s="50" t="inlineStr">
        <is>
          <t>M</t>
        </is>
      </c>
    </row>
    <row r="46" ht="63.75" customHeight="1" s="37">
      <c r="A46" s="50" t="inlineStr">
        <is>
          <t>SP30</t>
        </is>
      </c>
      <c r="B46" s="50" t="inlineStr">
        <is>
          <t>Water polo</t>
        </is>
      </c>
      <c r="C46" s="50" t="inlineStr">
        <is>
          <t>Senior elite (male)</t>
        </is>
      </c>
      <c r="D46" s="50" t="inlineStr">
        <is>
          <t>Team water contact</t>
        </is>
      </c>
      <c r="E46" s="50" t="n">
        <v>188.6</v>
      </c>
      <c r="F46" s="50" t="n">
        <v>6.8</v>
      </c>
      <c r="G46" s="50" t="n">
        <v>87.59999999999999</v>
      </c>
      <c r="H46" s="50" t="n">
        <v>12.8</v>
      </c>
      <c r="I46" s="50" t="n">
        <v>24.6</v>
      </c>
      <c r="J46" s="50" t="n">
        <v>12.1</v>
      </c>
      <c r="K46" s="50" t="n"/>
      <c r="L46" s="50" t="n"/>
      <c r="M46" s="50" t="n">
        <v>8</v>
      </c>
      <c r="N46" s="50" t="n">
        <v>9</v>
      </c>
      <c r="O46" s="50" t="n">
        <v>8</v>
      </c>
      <c r="P46" s="50" t="n">
        <v>9</v>
      </c>
      <c r="Q46" s="50" t="n">
        <v>7</v>
      </c>
      <c r="R46" s="50" t="n">
        <v>8</v>
      </c>
      <c r="S46" s="50" t="n">
        <v>6</v>
      </c>
      <c r="T46" s="50" t="n">
        <v>8</v>
      </c>
      <c r="U46" s="50" t="n">
        <v>8</v>
      </c>
      <c r="V46" s="50" t="n">
        <v>7</v>
      </c>
      <c r="W46" s="50" t="inlineStr">
        <is>
          <t>Heavy</t>
        </is>
      </c>
      <c r="X46" s="50" t="inlineStr">
        <is>
          <t>Indoor</t>
        </is>
      </c>
      <c r="Y46" s="50" t="inlineStr">
        <is>
          <t>Yes</t>
        </is>
      </c>
      <c r="Z46" s="50" t="inlineStr">
        <is>
          <t>Medium</t>
        </is>
      </c>
      <c r="AA46" s="50" t="inlineStr">
        <is>
          <t>8–14</t>
        </is>
      </c>
      <c r="AB46" s="50" t="inlineStr">
        <is>
          <t>Medium</t>
        </is>
      </c>
      <c r="AC46" s="50" t="n">
        <v>3</v>
      </c>
      <c r="AD46" s="50" t="inlineStr">
        <is>
          <t>Some</t>
        </is>
      </c>
      <c r="AE46" s="50" t="inlineStr">
        <is>
          <t>S59, S60</t>
        </is>
      </c>
      <c r="AF46" s="50" t="inlineStr">
        <is>
          <t>Hungarian/European elite male water polo 188.6 ± 6.8 cm / 87.6 ± 12.8 kg / BF 12.1 ± 4.0% (S59). Skeletal muscle mass 43.9 ± 5.5 kg. Among tallest team-sport athletes; long wingspan and treading-water (eggbeater) endurance critical.</t>
        </is>
      </c>
      <c r="AG46" s="50" t="inlineStr">
        <is>
          <t>M</t>
        </is>
      </c>
    </row>
    <row r="47" ht="63.75" customHeight="1" s="37">
      <c r="A47" s="50" t="inlineStr">
        <is>
          <t>SP30F</t>
        </is>
      </c>
      <c r="B47" s="50" t="inlineStr">
        <is>
          <t>Water polo</t>
        </is>
      </c>
      <c r="C47" s="50" t="inlineStr">
        <is>
          <t>Senior elite (female)</t>
        </is>
      </c>
      <c r="D47" s="50" t="inlineStr">
        <is>
          <t>Team water contact</t>
        </is>
      </c>
      <c r="E47" s="50" t="n">
        <v>173.5</v>
      </c>
      <c r="F47" s="50" t="n">
        <v>6.8</v>
      </c>
      <c r="G47" s="50" t="n">
        <v>69.8</v>
      </c>
      <c r="H47" s="50" t="n">
        <v>9.800000000000001</v>
      </c>
      <c r="I47" s="50" t="n">
        <v>23.2</v>
      </c>
      <c r="J47" s="50" t="n">
        <v>21.5</v>
      </c>
      <c r="K47" s="50" t="n"/>
      <c r="L47" s="50" t="n"/>
      <c r="M47" s="50" t="n">
        <v>8</v>
      </c>
      <c r="N47" s="50" t="n">
        <v>9</v>
      </c>
      <c r="O47" s="50" t="n">
        <v>7</v>
      </c>
      <c r="P47" s="50" t="n">
        <v>8</v>
      </c>
      <c r="Q47" s="50" t="n">
        <v>7</v>
      </c>
      <c r="R47" s="50" t="n">
        <v>8</v>
      </c>
      <c r="S47" s="50" t="n">
        <v>7</v>
      </c>
      <c r="T47" s="50" t="n">
        <v>8</v>
      </c>
      <c r="U47" s="50" t="n">
        <v>8</v>
      </c>
      <c r="V47" s="50" t="n">
        <v>7</v>
      </c>
      <c r="W47" s="50" t="inlineStr">
        <is>
          <t>Heavy</t>
        </is>
      </c>
      <c r="X47" s="50" t="inlineStr">
        <is>
          <t>Indoor</t>
        </is>
      </c>
      <c r="Y47" s="50" t="inlineStr">
        <is>
          <t>Yes</t>
        </is>
      </c>
      <c r="Z47" s="50" t="inlineStr">
        <is>
          <t>Medium</t>
        </is>
      </c>
      <c r="AA47" s="50" t="inlineStr">
        <is>
          <t>8–14</t>
        </is>
      </c>
      <c r="AB47" s="50" t="inlineStr">
        <is>
          <t>Medium</t>
        </is>
      </c>
      <c r="AC47" s="50" t="n">
        <v>3</v>
      </c>
      <c r="AD47" s="50" t="inlineStr">
        <is>
          <t>Some</t>
        </is>
      </c>
      <c r="AE47" s="50" t="inlineStr">
        <is>
          <t>S59</t>
        </is>
      </c>
      <c r="AF47" s="50" t="inlineStr">
        <is>
          <t>Female elite: 173.5 ± 6.8 cm / 69.8 ± 9.8 kg / BF 21.5 ± 4.8% (S59). FFM 54.5 ± 6.7 kg.</t>
        </is>
      </c>
      <c r="AG47" s="50" t="inlineStr">
        <is>
          <t>F</t>
        </is>
      </c>
    </row>
    <row r="48" ht="63.75" customHeight="1" s="37">
      <c r="A48" s="50" t="inlineStr">
        <is>
          <t>SP31</t>
        </is>
      </c>
      <c r="B48" s="50" t="inlineStr">
        <is>
          <t>Kayaking</t>
        </is>
      </c>
      <c r="C48" s="50" t="inlineStr">
        <is>
          <t>Sprint (male)</t>
        </is>
      </c>
      <c r="D48" s="50" t="inlineStr">
        <is>
          <t>Endurance individual / pair</t>
        </is>
      </c>
      <c r="E48" s="50" t="n">
        <v>180</v>
      </c>
      <c r="F48" s="50" t="n">
        <v>5</v>
      </c>
      <c r="G48" s="50" t="n">
        <v>82</v>
      </c>
      <c r="H48" s="50" t="n">
        <v>6</v>
      </c>
      <c r="I48" s="50" t="n">
        <v>25.3</v>
      </c>
      <c r="J48" s="50" t="n">
        <v>9</v>
      </c>
      <c r="K48" s="50" t="n">
        <v>1.05</v>
      </c>
      <c r="L48" s="50" t="n"/>
      <c r="M48" s="50" t="n">
        <v>8</v>
      </c>
      <c r="N48" s="50" t="n">
        <v>9</v>
      </c>
      <c r="O48" s="50" t="n">
        <v>8</v>
      </c>
      <c r="P48" s="50" t="n">
        <v>9</v>
      </c>
      <c r="Q48" s="50" t="n">
        <v>6</v>
      </c>
      <c r="R48" s="50" t="n">
        <v>8</v>
      </c>
      <c r="S48" s="50" t="n">
        <v>6</v>
      </c>
      <c r="T48" s="50" t="n">
        <v>7</v>
      </c>
      <c r="U48" s="50" t="n">
        <v>6</v>
      </c>
      <c r="V48" s="50" t="n">
        <v>1</v>
      </c>
      <c r="W48" s="50" t="inlineStr">
        <is>
          <t>None</t>
        </is>
      </c>
      <c r="X48" s="50" t="inlineStr">
        <is>
          <t>Outdoor</t>
        </is>
      </c>
      <c r="Y48" s="50" t="inlineStr">
        <is>
          <t>Yes</t>
        </is>
      </c>
      <c r="Z48" s="50" t="inlineStr">
        <is>
          <t>Medium</t>
        </is>
      </c>
      <c r="AA48" s="50" t="inlineStr">
        <is>
          <t>8–14</t>
        </is>
      </c>
      <c r="AB48" s="50" t="inlineStr">
        <is>
          <t>Low</t>
        </is>
      </c>
      <c r="AC48" s="50" t="n">
        <v>5</v>
      </c>
      <c r="AD48" s="50" t="inlineStr">
        <is>
          <t>Yes</t>
        </is>
      </c>
      <c r="AE48" s="50" t="inlineStr">
        <is>
          <t>S61</t>
        </is>
      </c>
      <c r="AF48" s="50" t="inlineStr">
        <is>
          <t>Elite male kayakers: BM, BMI, SMMI predict force and power output (S61). Sprint specialists heavier than long-distance. Long arm span and shoulder strength dominate.</t>
        </is>
      </c>
      <c r="AG48" s="50" t="inlineStr">
        <is>
          <t>M</t>
        </is>
      </c>
    </row>
    <row r="49" ht="63.75" customHeight="1" s="37">
      <c r="A49" s="50" t="inlineStr">
        <is>
          <t>SP32</t>
        </is>
      </c>
      <c r="B49" s="50" t="inlineStr">
        <is>
          <t>Sailing</t>
        </is>
      </c>
      <c r="C49" s="50" t="inlineStr">
        <is>
          <t>Finn class (heavy dinghy, male)</t>
        </is>
      </c>
      <c r="D49" s="50" t="inlineStr">
        <is>
          <t>Individual technical</t>
        </is>
      </c>
      <c r="E49" s="50" t="n">
        <v>186</v>
      </c>
      <c r="F49" s="50" t="n">
        <v>5</v>
      </c>
      <c r="G49" s="50" t="n">
        <v>96</v>
      </c>
      <c r="H49" s="50" t="n">
        <v>8</v>
      </c>
      <c r="I49" s="50" t="n">
        <v>27.7</v>
      </c>
      <c r="J49" s="50" t="n">
        <v>16</v>
      </c>
      <c r="K49" s="50" t="n"/>
      <c r="L49" s="50" t="n"/>
      <c r="M49" s="50" t="n">
        <v>6</v>
      </c>
      <c r="N49" s="50" t="n">
        <v>5</v>
      </c>
      <c r="O49" s="50" t="n">
        <v>7</v>
      </c>
      <c r="P49" s="50" t="n">
        <v>6</v>
      </c>
      <c r="Q49" s="50" t="n">
        <v>3</v>
      </c>
      <c r="R49" s="50" t="n">
        <v>6</v>
      </c>
      <c r="S49" s="50" t="n">
        <v>5</v>
      </c>
      <c r="T49" s="50" t="n">
        <v>9</v>
      </c>
      <c r="U49" s="50" t="n">
        <v>7</v>
      </c>
      <c r="V49" s="50" t="n">
        <v>1</v>
      </c>
      <c r="W49" s="50" t="inlineStr">
        <is>
          <t>None</t>
        </is>
      </c>
      <c r="X49" s="50" t="inlineStr">
        <is>
          <t>Outdoor</t>
        </is>
      </c>
      <c r="Y49" s="50" t="inlineStr">
        <is>
          <t>Yes</t>
        </is>
      </c>
      <c r="Z49" s="50" t="inlineStr">
        <is>
          <t>High</t>
        </is>
      </c>
      <c r="AA49" s="50" t="inlineStr">
        <is>
          <t>Any</t>
        </is>
      </c>
      <c r="AB49" s="50" t="inlineStr">
        <is>
          <t>Low</t>
        </is>
      </c>
      <c r="AC49" s="50" t="n">
        <v>5</v>
      </c>
      <c r="AD49" s="50" t="inlineStr">
        <is>
          <t>Some</t>
        </is>
      </c>
      <c r="AE49" s="50" t="inlineStr">
        <is>
          <t>S62</t>
        </is>
      </c>
      <c r="AF49" s="50" t="inlineStr">
        <is>
          <t>Heavy-dinghy class — endomorphic-mesomorph somatotype (3.94-5.50-1.63) (S62). Hiking out demands core/leg strength and significant body mass for righting moment. Comparable endomorphy to rowers.</t>
        </is>
      </c>
      <c r="AG49" s="50" t="inlineStr">
        <is>
          <t>M</t>
        </is>
      </c>
    </row>
    <row r="50" ht="63.75" customHeight="1" s="37">
      <c r="A50" s="50" t="inlineStr">
        <is>
          <t>SP32b</t>
        </is>
      </c>
      <c r="B50" s="50" t="inlineStr">
        <is>
          <t>Sailing</t>
        </is>
      </c>
      <c r="C50" s="50" t="inlineStr">
        <is>
          <t>Light dinghy (Laser/ILCA, male)</t>
        </is>
      </c>
      <c r="D50" s="50" t="inlineStr">
        <is>
          <t>Individual technical</t>
        </is>
      </c>
      <c r="E50" s="50" t="n">
        <v>180</v>
      </c>
      <c r="F50" s="50" t="n">
        <v>6</v>
      </c>
      <c r="G50" s="50" t="n">
        <v>80</v>
      </c>
      <c r="H50" s="50" t="n">
        <v>5</v>
      </c>
      <c r="I50" s="50" t="n">
        <v>24.7</v>
      </c>
      <c r="J50" s="50" t="n">
        <v>11</v>
      </c>
      <c r="K50" s="50" t="n"/>
      <c r="L50" s="50" t="n"/>
      <c r="M50" s="50" t="n">
        <v>7</v>
      </c>
      <c r="N50" s="50" t="n">
        <v>5</v>
      </c>
      <c r="O50" s="50" t="n">
        <v>6</v>
      </c>
      <c r="P50" s="50" t="n">
        <v>5</v>
      </c>
      <c r="Q50" s="50" t="n">
        <v>3</v>
      </c>
      <c r="R50" s="50" t="n">
        <v>7</v>
      </c>
      <c r="S50" s="50" t="n">
        <v>6</v>
      </c>
      <c r="T50" s="50" t="n">
        <v>9</v>
      </c>
      <c r="U50" s="50" t="n">
        <v>7</v>
      </c>
      <c r="V50" s="50" t="n">
        <v>1</v>
      </c>
      <c r="W50" s="50" t="inlineStr">
        <is>
          <t>None</t>
        </is>
      </c>
      <c r="X50" s="50" t="inlineStr">
        <is>
          <t>Outdoor</t>
        </is>
      </c>
      <c r="Y50" s="50" t="inlineStr">
        <is>
          <t>Yes</t>
        </is>
      </c>
      <c r="Z50" s="50" t="inlineStr">
        <is>
          <t>Medium</t>
        </is>
      </c>
      <c r="AA50" s="50" t="inlineStr">
        <is>
          <t>Any</t>
        </is>
      </c>
      <c r="AB50" s="50" t="inlineStr">
        <is>
          <t>Low</t>
        </is>
      </c>
      <c r="AC50" s="50" t="n">
        <v>6</v>
      </c>
      <c r="AD50" s="50" t="inlineStr">
        <is>
          <t>Yes</t>
        </is>
      </c>
      <c r="AE50" s="50" t="inlineStr">
        <is>
          <t>S63</t>
        </is>
      </c>
      <c r="AF50" s="50" t="inlineStr">
        <is>
          <t>Sub-elite to elite young sailors: top performers leaner, with lower trunk/limb fat mass (S63). Laser/ILCA height and sitting height linked to performance per related literature.</t>
        </is>
      </c>
      <c r="AG50" s="50" t="inlineStr">
        <is>
          <t>M</t>
        </is>
      </c>
    </row>
    <row r="51" ht="63.75" customHeight="1" s="37">
      <c r="A51" s="50" t="inlineStr">
        <is>
          <t>SP33</t>
        </is>
      </c>
      <c r="B51" s="50" t="inlineStr">
        <is>
          <t>Volleyball</t>
        </is>
      </c>
      <c r="C51" s="50" t="inlineStr">
        <is>
          <t>Senior elite (male, all positions)</t>
        </is>
      </c>
      <c r="D51" s="50" t="inlineStr">
        <is>
          <t>Team court</t>
        </is>
      </c>
      <c r="E51" s="50" t="n">
        <v>195</v>
      </c>
      <c r="F51" s="50" t="n">
        <v>6</v>
      </c>
      <c r="G51" s="50" t="n">
        <v>89</v>
      </c>
      <c r="H51" s="50" t="n">
        <v>7</v>
      </c>
      <c r="I51" s="50" t="n">
        <v>23.4</v>
      </c>
      <c r="J51" s="50" t="n">
        <v>10</v>
      </c>
      <c r="K51" s="50" t="n">
        <v>1.05</v>
      </c>
      <c r="L51" s="50" t="n"/>
      <c r="M51" s="50" t="n">
        <v>7</v>
      </c>
      <c r="N51" s="50" t="n">
        <v>9</v>
      </c>
      <c r="O51" s="50" t="n">
        <v>7</v>
      </c>
      <c r="P51" s="50" t="n">
        <v>10</v>
      </c>
      <c r="Q51" s="50" t="n">
        <v>7</v>
      </c>
      <c r="R51" s="50" t="n">
        <v>7</v>
      </c>
      <c r="S51" s="50" t="n">
        <v>6</v>
      </c>
      <c r="T51" s="50" t="n">
        <v>9</v>
      </c>
      <c r="U51" s="50" t="n">
        <v>9</v>
      </c>
      <c r="V51" s="50" t="n">
        <v>6</v>
      </c>
      <c r="W51" s="50" t="inlineStr">
        <is>
          <t>None</t>
        </is>
      </c>
      <c r="X51" s="50" t="inlineStr">
        <is>
          <t>Indoor</t>
        </is>
      </c>
      <c r="Y51" s="50" t="inlineStr">
        <is>
          <t>No</t>
        </is>
      </c>
      <c r="Z51" s="50" t="inlineStr">
        <is>
          <t>Low</t>
        </is>
      </c>
      <c r="AA51" s="50" t="inlineStr">
        <is>
          <t>10–14</t>
        </is>
      </c>
      <c r="AB51" s="50" t="inlineStr">
        <is>
          <t>Medium</t>
        </is>
      </c>
      <c r="AC51" s="50" t="n">
        <v>5</v>
      </c>
      <c r="AD51" s="50" t="inlineStr">
        <is>
          <t>Some</t>
        </is>
      </c>
      <c r="AE51" s="50" t="inlineStr">
        <is>
          <t>S64</t>
        </is>
      </c>
      <c r="AF51" s="50" t="inlineStr">
        <is>
          <t>Serbian national league elite — significantly taller than handball counterparts and sedentary controls (S64). Vertical jump and reach dominate — height advantage compounded by long wingspan.</t>
        </is>
      </c>
      <c r="AG51" s="50" t="inlineStr">
        <is>
          <t>M</t>
        </is>
      </c>
    </row>
    <row r="52" ht="63.75" customHeight="1" s="37">
      <c r="A52" s="50" t="inlineStr">
        <is>
          <t>SP34</t>
        </is>
      </c>
      <c r="B52" s="50" t="inlineStr">
        <is>
          <t>Handball</t>
        </is>
      </c>
      <c r="C52" s="50" t="inlineStr">
        <is>
          <t>Wing (male)</t>
        </is>
      </c>
      <c r="D52" s="50" t="inlineStr">
        <is>
          <t>Team court contact</t>
        </is>
      </c>
      <c r="E52" s="50" t="n">
        <v>178</v>
      </c>
      <c r="F52" s="50" t="n">
        <v>5</v>
      </c>
      <c r="G52" s="50" t="n">
        <v>81</v>
      </c>
      <c r="H52" s="50" t="n">
        <v>6</v>
      </c>
      <c r="I52" s="50" t="n">
        <v>25.6</v>
      </c>
      <c r="J52" s="50" t="n">
        <v>12</v>
      </c>
      <c r="K52" s="50" t="n"/>
      <c r="L52" s="50" t="n"/>
      <c r="M52" s="50" t="n">
        <v>8</v>
      </c>
      <c r="N52" s="50" t="n">
        <v>10</v>
      </c>
      <c r="O52" s="50" t="n">
        <v>8</v>
      </c>
      <c r="P52" s="50" t="n">
        <v>9</v>
      </c>
      <c r="Q52" s="50" t="n">
        <v>9</v>
      </c>
      <c r="R52" s="50" t="n">
        <v>8</v>
      </c>
      <c r="S52" s="50" t="n">
        <v>6</v>
      </c>
      <c r="T52" s="50" t="n">
        <v>9</v>
      </c>
      <c r="U52" s="50" t="n">
        <v>9</v>
      </c>
      <c r="V52" s="50" t="n">
        <v>7</v>
      </c>
      <c r="W52" s="50" t="inlineStr">
        <is>
          <t>Medium</t>
        </is>
      </c>
      <c r="X52" s="50" t="inlineStr">
        <is>
          <t>Indoor</t>
        </is>
      </c>
      <c r="Y52" s="50" t="inlineStr">
        <is>
          <t>No</t>
        </is>
      </c>
      <c r="Z52" s="50" t="inlineStr">
        <is>
          <t>Low</t>
        </is>
      </c>
      <c r="AA52" s="50" t="inlineStr">
        <is>
          <t>8–14</t>
        </is>
      </c>
      <c r="AB52" s="50" t="inlineStr">
        <is>
          <t>Medium</t>
        </is>
      </c>
      <c r="AC52" s="50" t="n">
        <v>2</v>
      </c>
      <c r="AD52" s="50" t="inlineStr">
        <is>
          <t>Some</t>
        </is>
      </c>
      <c r="AE52" s="50" t="inlineStr">
        <is>
          <t>S65, S66</t>
        </is>
      </c>
      <c r="AF52" s="50" t="inlineStr">
        <is>
          <t>Wing players lightest and shortest in handball; 177–178 cm / 80 kg (S65). Speed and one-on-one finishing dominate the wing role.</t>
        </is>
      </c>
      <c r="AG52" s="50" t="inlineStr">
        <is>
          <t>M</t>
        </is>
      </c>
    </row>
    <row r="53" ht="63.75" customHeight="1" s="37">
      <c r="A53" s="50" t="inlineStr">
        <is>
          <t>SP34b</t>
        </is>
      </c>
      <c r="B53" s="50" t="inlineStr">
        <is>
          <t>Handball</t>
        </is>
      </c>
      <c r="C53" s="50" t="inlineStr">
        <is>
          <t>Backcourt (male)</t>
        </is>
      </c>
      <c r="D53" s="50" t="inlineStr">
        <is>
          <t>Team court contact</t>
        </is>
      </c>
      <c r="E53" s="50" t="n">
        <v>198</v>
      </c>
      <c r="F53" s="50" t="n">
        <v>5</v>
      </c>
      <c r="G53" s="50" t="n">
        <v>98</v>
      </c>
      <c r="H53" s="50" t="n">
        <v>7</v>
      </c>
      <c r="I53" s="50" t="n">
        <v>25</v>
      </c>
      <c r="J53" s="50" t="n">
        <v>11</v>
      </c>
      <c r="K53" s="50" t="n"/>
      <c r="L53" s="50" t="n"/>
      <c r="M53" s="50" t="n">
        <v>8</v>
      </c>
      <c r="N53" s="50" t="n">
        <v>10</v>
      </c>
      <c r="O53" s="50" t="n">
        <v>8</v>
      </c>
      <c r="P53" s="50" t="n">
        <v>10</v>
      </c>
      <c r="Q53" s="50" t="n">
        <v>7</v>
      </c>
      <c r="R53" s="50" t="n">
        <v>7</v>
      </c>
      <c r="S53" s="50" t="n">
        <v>5</v>
      </c>
      <c r="T53" s="50" t="n">
        <v>9</v>
      </c>
      <c r="U53" s="50" t="n">
        <v>9</v>
      </c>
      <c r="V53" s="50" t="n">
        <v>7</v>
      </c>
      <c r="W53" s="50" t="inlineStr">
        <is>
          <t>Medium</t>
        </is>
      </c>
      <c r="X53" s="50" t="inlineStr">
        <is>
          <t>Indoor</t>
        </is>
      </c>
      <c r="Y53" s="50" t="inlineStr">
        <is>
          <t>No</t>
        </is>
      </c>
      <c r="Z53" s="50" t="inlineStr">
        <is>
          <t>Low</t>
        </is>
      </c>
      <c r="AA53" s="50" t="inlineStr">
        <is>
          <t>8–14</t>
        </is>
      </c>
      <c r="AB53" s="50" t="inlineStr">
        <is>
          <t>Medium</t>
        </is>
      </c>
      <c r="AC53" s="50" t="n">
        <v>2</v>
      </c>
      <c r="AD53" s="50" t="inlineStr">
        <is>
          <t>Some</t>
        </is>
      </c>
      <c r="AE53" s="50" t="inlineStr">
        <is>
          <t>S65, S66</t>
        </is>
      </c>
      <c r="AF53" s="50" t="inlineStr">
        <is>
          <t>Backs tallest non-pivot players: 193–202 cm / 91–102 kg (S65). Throwing power and over-the-defence shooting favour tall, long-armed athletes.</t>
        </is>
      </c>
      <c r="AG53" s="50" t="inlineStr">
        <is>
          <t>M</t>
        </is>
      </c>
    </row>
    <row r="54" ht="63.75" customHeight="1" s="37">
      <c r="A54" s="50" t="inlineStr">
        <is>
          <t>SP34c</t>
        </is>
      </c>
      <c r="B54" s="50" t="inlineStr">
        <is>
          <t>Handball</t>
        </is>
      </c>
      <c r="C54" s="50" t="inlineStr">
        <is>
          <t>Pivot / line (male)</t>
        </is>
      </c>
      <c r="D54" s="50" t="inlineStr">
        <is>
          <t>Team court contact</t>
        </is>
      </c>
      <c r="E54" s="50" t="n">
        <v>195</v>
      </c>
      <c r="F54" s="50" t="n">
        <v>5</v>
      </c>
      <c r="G54" s="50" t="n">
        <v>110</v>
      </c>
      <c r="H54" s="50" t="n">
        <v>8</v>
      </c>
      <c r="I54" s="50" t="n">
        <v>28.9</v>
      </c>
      <c r="J54" s="50" t="n">
        <v>14</v>
      </c>
      <c r="K54" s="50" t="n"/>
      <c r="L54" s="50" t="n"/>
      <c r="M54" s="50" t="n">
        <v>7</v>
      </c>
      <c r="N54" s="50" t="n">
        <v>10</v>
      </c>
      <c r="O54" s="50" t="n">
        <v>10</v>
      </c>
      <c r="P54" s="50" t="n">
        <v>8</v>
      </c>
      <c r="Q54" s="50" t="n">
        <v>6</v>
      </c>
      <c r="R54" s="50" t="n">
        <v>7</v>
      </c>
      <c r="S54" s="50" t="n">
        <v>4</v>
      </c>
      <c r="T54" s="50" t="n">
        <v>8</v>
      </c>
      <c r="U54" s="50" t="n">
        <v>8</v>
      </c>
      <c r="V54" s="50" t="n">
        <v>7</v>
      </c>
      <c r="W54" s="50" t="inlineStr">
        <is>
          <t>Heavy</t>
        </is>
      </c>
      <c r="X54" s="50" t="inlineStr">
        <is>
          <t>Indoor</t>
        </is>
      </c>
      <c r="Y54" s="50" t="inlineStr">
        <is>
          <t>No</t>
        </is>
      </c>
      <c r="Z54" s="50" t="inlineStr">
        <is>
          <t>Low</t>
        </is>
      </c>
      <c r="AA54" s="50" t="inlineStr">
        <is>
          <t>8–14</t>
        </is>
      </c>
      <c r="AB54" s="50" t="inlineStr">
        <is>
          <t>High</t>
        </is>
      </c>
      <c r="AC54" s="50" t="n">
        <v>2</v>
      </c>
      <c r="AD54" s="50" t="inlineStr">
        <is>
          <t>Some</t>
        </is>
      </c>
      <c r="AE54" s="50" t="inlineStr">
        <is>
          <t>S65, S66</t>
        </is>
      </c>
      <c r="AF54" s="50" t="inlineStr">
        <is>
          <t>Pivots heaviest: 188–202 cm / 105–121 kg (S65). Operate in the contact zone of the 6m line; rugby-prop-style frontal collisions.</t>
        </is>
      </c>
      <c r="AG54" s="50" t="inlineStr">
        <is>
          <t>M</t>
        </is>
      </c>
    </row>
    <row r="55" ht="63.75" customHeight="1" s="37">
      <c r="A55" s="50" t="inlineStr">
        <is>
          <t>SP35</t>
        </is>
      </c>
      <c r="B55" s="50" t="inlineStr">
        <is>
          <t>Field hockey</t>
        </is>
      </c>
      <c r="C55" s="50" t="inlineStr">
        <is>
          <t>Senior elite (male)</t>
        </is>
      </c>
      <c r="D55" s="50" t="inlineStr">
        <is>
          <t>Team field</t>
        </is>
      </c>
      <c r="E55" s="50" t="n">
        <v>175</v>
      </c>
      <c r="F55" s="50" t="n">
        <v>5</v>
      </c>
      <c r="G55" s="50" t="n">
        <v>73</v>
      </c>
      <c r="H55" s="50" t="n">
        <v>6</v>
      </c>
      <c r="I55" s="50" t="n">
        <v>23.8</v>
      </c>
      <c r="J55" s="50" t="n">
        <v>9.4</v>
      </c>
      <c r="K55" s="50" t="n"/>
      <c r="L55" s="50" t="n"/>
      <c r="M55" s="50" t="n">
        <v>9</v>
      </c>
      <c r="N55" s="50" t="n">
        <v>8</v>
      </c>
      <c r="O55" s="50" t="n">
        <v>6</v>
      </c>
      <c r="P55" s="50" t="n">
        <v>8</v>
      </c>
      <c r="Q55" s="50" t="n">
        <v>8</v>
      </c>
      <c r="R55" s="50" t="n">
        <v>9</v>
      </c>
      <c r="S55" s="50" t="n">
        <v>6</v>
      </c>
      <c r="T55" s="50" t="n">
        <v>9</v>
      </c>
      <c r="U55" s="50" t="n">
        <v>8</v>
      </c>
      <c r="V55" s="50" t="n">
        <v>11</v>
      </c>
      <c r="W55" s="50" t="inlineStr">
        <is>
          <t>Light</t>
        </is>
      </c>
      <c r="X55" s="50" t="inlineStr">
        <is>
          <t>Outdoor</t>
        </is>
      </c>
      <c r="Y55" s="50" t="inlineStr">
        <is>
          <t>No</t>
        </is>
      </c>
      <c r="Z55" s="50" t="inlineStr">
        <is>
          <t>Low</t>
        </is>
      </c>
      <c r="AA55" s="50" t="inlineStr">
        <is>
          <t>5–10</t>
        </is>
      </c>
      <c r="AB55" s="50" t="inlineStr">
        <is>
          <t>Medium</t>
        </is>
      </c>
      <c r="AC55" s="50" t="n">
        <v>6</v>
      </c>
      <c r="AD55" s="50" t="inlineStr">
        <is>
          <t>Yes</t>
        </is>
      </c>
      <c r="AE55" s="50" t="inlineStr">
        <is>
          <t>S67</t>
        </is>
      </c>
      <c r="AF55" s="50" t="inlineStr">
        <is>
          <t>London 2012 Olympic male field hockey players ~175 cm / ~72 kg, BF averaging 9.4% across studies (S67). Hockey players shorter and lighter than average Olympian. Stooped running posture and stick-control demands reward agility over size.</t>
        </is>
      </c>
      <c r="AG55" s="50" t="inlineStr">
        <is>
          <t>M</t>
        </is>
      </c>
    </row>
    <row r="56" ht="63.75" customHeight="1" s="37">
      <c r="A56" s="50" t="inlineStr">
        <is>
          <t>SP36</t>
        </is>
      </c>
      <c r="B56" s="50" t="inlineStr">
        <is>
          <t>Hurling</t>
        </is>
      </c>
      <c r="C56" s="50" t="inlineStr">
        <is>
          <t>Full-back (male inter-county)</t>
        </is>
      </c>
      <c r="D56" s="50" t="inlineStr">
        <is>
          <t>Team field stick</t>
        </is>
      </c>
      <c r="E56" s="50" t="n">
        <v>184.3</v>
      </c>
      <c r="F56" s="50" t="n">
        <v>3.7</v>
      </c>
      <c r="G56" s="50" t="n">
        <v>88.7</v>
      </c>
      <c r="H56" s="50" t="n">
        <v>5.7</v>
      </c>
      <c r="I56" s="50" t="n">
        <v>26.1</v>
      </c>
      <c r="J56" s="50" t="n">
        <v>13.2</v>
      </c>
      <c r="K56" s="50" t="n"/>
      <c r="L56" s="50" t="n"/>
      <c r="M56" s="50" t="n">
        <v>8</v>
      </c>
      <c r="N56" s="50" t="n">
        <v>9</v>
      </c>
      <c r="O56" s="50" t="n">
        <v>8</v>
      </c>
      <c r="P56" s="50" t="n">
        <v>8</v>
      </c>
      <c r="Q56" s="50" t="n">
        <v>7</v>
      </c>
      <c r="R56" s="50" t="n">
        <v>8</v>
      </c>
      <c r="S56" s="50" t="n">
        <v>6</v>
      </c>
      <c r="T56" s="50" t="n">
        <v>9</v>
      </c>
      <c r="U56" s="50" t="n">
        <v>9</v>
      </c>
      <c r="V56" s="50" t="n">
        <v>15</v>
      </c>
      <c r="W56" s="50" t="inlineStr">
        <is>
          <t>Medium</t>
        </is>
      </c>
      <c r="X56" s="50" t="inlineStr">
        <is>
          <t>Outdoor</t>
        </is>
      </c>
      <c r="Y56" s="50" t="inlineStr">
        <is>
          <t>No</t>
        </is>
      </c>
      <c r="Z56" s="50" t="inlineStr">
        <is>
          <t>Low</t>
        </is>
      </c>
      <c r="AA56" s="50" t="inlineStr">
        <is>
          <t>6–12</t>
        </is>
      </c>
      <c r="AB56" s="50" t="inlineStr">
        <is>
          <t>Medium</t>
        </is>
      </c>
      <c r="AC56" s="50" t="n">
        <v>10</v>
      </c>
      <c r="AD56" s="50" t="inlineStr">
        <is>
          <t>Yes</t>
        </is>
      </c>
      <c r="AE56" s="50" t="inlineStr">
        <is>
          <t>S68, S69</t>
        </is>
      </c>
      <c r="AF56" s="50" t="inlineStr">
        <is>
          <t>Collins 2014 (S68): FB 184.3 ± 3.7 cm / 88.7 ± 5.7 kg / 13.2 ± 3.1% AT. Tallest, heaviest, slightly higher adiposity than backline cohort — aerial dominance and physical presence in the FB line.</t>
        </is>
      </c>
      <c r="AG56" s="50" t="inlineStr">
        <is>
          <t>M</t>
        </is>
      </c>
    </row>
    <row r="57" ht="63.75" customHeight="1" s="37">
      <c r="A57" s="50" t="inlineStr">
        <is>
          <t>SP36b</t>
        </is>
      </c>
      <c r="B57" s="50" t="inlineStr">
        <is>
          <t>Hurling</t>
        </is>
      </c>
      <c r="C57" s="50" t="inlineStr">
        <is>
          <t>Half-back (male inter-county)</t>
        </is>
      </c>
      <c r="D57" s="50" t="inlineStr">
        <is>
          <t>Team field stick</t>
        </is>
      </c>
      <c r="E57" s="50" t="n">
        <v>185.6</v>
      </c>
      <c r="F57" s="50" t="n">
        <v>5.1</v>
      </c>
      <c r="G57" s="50" t="n">
        <v>84.2</v>
      </c>
      <c r="H57" s="50" t="n">
        <v>9</v>
      </c>
      <c r="I57" s="50" t="n">
        <v>24.5</v>
      </c>
      <c r="J57" s="50" t="n">
        <v>12.5</v>
      </c>
      <c r="K57" s="50" t="n"/>
      <c r="L57" s="50" t="n"/>
      <c r="M57" s="50" t="n">
        <v>9</v>
      </c>
      <c r="N57" s="50" t="n">
        <v>9</v>
      </c>
      <c r="O57" s="50" t="n">
        <v>7</v>
      </c>
      <c r="P57" s="50" t="n">
        <v>8</v>
      </c>
      <c r="Q57" s="50" t="n">
        <v>8</v>
      </c>
      <c r="R57" s="50" t="n">
        <v>9</v>
      </c>
      <c r="S57" s="50" t="n">
        <v>6</v>
      </c>
      <c r="T57" s="50" t="n">
        <v>9</v>
      </c>
      <c r="U57" s="50" t="n">
        <v>9</v>
      </c>
      <c r="V57" s="50" t="n">
        <v>15</v>
      </c>
      <c r="W57" s="50" t="inlineStr">
        <is>
          <t>Medium</t>
        </is>
      </c>
      <c r="X57" s="50" t="inlineStr">
        <is>
          <t>Outdoor</t>
        </is>
      </c>
      <c r="Y57" s="50" t="inlineStr">
        <is>
          <t>No</t>
        </is>
      </c>
      <c r="Z57" s="50" t="inlineStr">
        <is>
          <t>Low</t>
        </is>
      </c>
      <c r="AA57" s="50" t="inlineStr">
        <is>
          <t>6–12</t>
        </is>
      </c>
      <c r="AB57" s="50" t="inlineStr">
        <is>
          <t>Medium</t>
        </is>
      </c>
      <c r="AC57" s="50" t="n">
        <v>10</v>
      </c>
      <c r="AD57" s="50" t="inlineStr">
        <is>
          <t>Yes</t>
        </is>
      </c>
      <c r="AE57" s="50" t="inlineStr">
        <is>
          <t>S68, S69</t>
        </is>
      </c>
      <c r="AF57" s="50" t="inlineStr">
        <is>
          <t>Collins (S68): HB 185.6 ± 5.1 cm / 84.2 ± 9 kg / 12.5 ± 1.7% AT. Linkage line — combines aerial work with high-volume running.</t>
        </is>
      </c>
      <c r="AG57" s="50" t="inlineStr">
        <is>
          <t>M</t>
        </is>
      </c>
    </row>
    <row r="58" ht="63.75" customHeight="1" s="37">
      <c r="A58" s="50" t="inlineStr">
        <is>
          <t>SP36c</t>
        </is>
      </c>
      <c r="B58" s="50" t="inlineStr">
        <is>
          <t>Hurling</t>
        </is>
      </c>
      <c r="C58" s="50" t="inlineStr">
        <is>
          <t>Midfield (male inter-county)</t>
        </is>
      </c>
      <c r="D58" s="50" t="inlineStr">
        <is>
          <t>Team field stick</t>
        </is>
      </c>
      <c r="E58" s="50" t="n">
        <v>179.9</v>
      </c>
      <c r="F58" s="50" t="n">
        <v>6</v>
      </c>
      <c r="G58" s="50" t="n">
        <v>79.90000000000001</v>
      </c>
      <c r="H58" s="50" t="n">
        <v>4.9</v>
      </c>
      <c r="I58" s="50" t="n">
        <v>24.7</v>
      </c>
      <c r="J58" s="50" t="n">
        <v>11.8</v>
      </c>
      <c r="K58" s="50" t="n"/>
      <c r="L58" s="50" t="n"/>
      <c r="M58" s="50" t="n">
        <v>10</v>
      </c>
      <c r="N58" s="50" t="n">
        <v>9</v>
      </c>
      <c r="O58" s="50" t="n">
        <v>6</v>
      </c>
      <c r="P58" s="50" t="n">
        <v>8</v>
      </c>
      <c r="Q58" s="50" t="n">
        <v>8</v>
      </c>
      <c r="R58" s="50" t="n">
        <v>10</v>
      </c>
      <c r="S58" s="50" t="n">
        <v>6</v>
      </c>
      <c r="T58" s="50" t="n">
        <v>9</v>
      </c>
      <c r="U58" s="50" t="n">
        <v>9</v>
      </c>
      <c r="V58" s="50" t="n">
        <v>15</v>
      </c>
      <c r="W58" s="50" t="inlineStr">
        <is>
          <t>Medium</t>
        </is>
      </c>
      <c r="X58" s="50" t="inlineStr">
        <is>
          <t>Outdoor</t>
        </is>
      </c>
      <c r="Y58" s="50" t="inlineStr">
        <is>
          <t>No</t>
        </is>
      </c>
      <c r="Z58" s="50" t="inlineStr">
        <is>
          <t>Low</t>
        </is>
      </c>
      <c r="AA58" s="50" t="inlineStr">
        <is>
          <t>6–12</t>
        </is>
      </c>
      <c r="AB58" s="50" t="inlineStr">
        <is>
          <t>Medium</t>
        </is>
      </c>
      <c r="AC58" s="50" t="n">
        <v>10</v>
      </c>
      <c r="AD58" s="50" t="inlineStr">
        <is>
          <t>Yes</t>
        </is>
      </c>
      <c r="AE58" s="50" t="inlineStr">
        <is>
          <t>S68, S69</t>
        </is>
      </c>
      <c r="AF58" s="50" t="inlineStr">
        <is>
          <t>Collins (S68): MF 179.9 ± 6 cm / 79.9 ± 4.9 kg / 11.8 ± 2.1% AT. Lowest adiposity in the team — highest aerobic and running demand per published GPS data.</t>
        </is>
      </c>
      <c r="AG58" s="50" t="inlineStr">
        <is>
          <t>M</t>
        </is>
      </c>
    </row>
    <row r="59" ht="63.75" customHeight="1" s="37">
      <c r="A59" s="50" t="inlineStr">
        <is>
          <t>SP36d</t>
        </is>
      </c>
      <c r="B59" s="50" t="inlineStr">
        <is>
          <t>Hurling</t>
        </is>
      </c>
      <c r="C59" s="50" t="inlineStr">
        <is>
          <t>Half-forward (male inter-county)</t>
        </is>
      </c>
      <c r="D59" s="50" t="inlineStr">
        <is>
          <t>Team field stick</t>
        </is>
      </c>
      <c r="E59" s="50" t="n">
        <v>181.6</v>
      </c>
      <c r="F59" s="50" t="n">
        <v>4.6</v>
      </c>
      <c r="G59" s="50" t="n">
        <v>80.2</v>
      </c>
      <c r="H59" s="50" t="n">
        <v>5.8</v>
      </c>
      <c r="I59" s="50" t="n">
        <v>24.3</v>
      </c>
      <c r="J59" s="50" t="n">
        <v>13</v>
      </c>
      <c r="K59" s="50" t="n"/>
      <c r="L59" s="50" t="n"/>
      <c r="M59" s="50" t="n">
        <v>9</v>
      </c>
      <c r="N59" s="50" t="n">
        <v>10</v>
      </c>
      <c r="O59" s="50" t="n">
        <v>7</v>
      </c>
      <c r="P59" s="50" t="n">
        <v>9</v>
      </c>
      <c r="Q59" s="50" t="n">
        <v>9</v>
      </c>
      <c r="R59" s="50" t="n">
        <v>9</v>
      </c>
      <c r="S59" s="50" t="n">
        <v>6</v>
      </c>
      <c r="T59" s="50" t="n">
        <v>10</v>
      </c>
      <c r="U59" s="50" t="n">
        <v>10</v>
      </c>
      <c r="V59" s="50" t="n">
        <v>15</v>
      </c>
      <c r="W59" s="50" t="inlineStr">
        <is>
          <t>Medium</t>
        </is>
      </c>
      <c r="X59" s="50" t="inlineStr">
        <is>
          <t>Outdoor</t>
        </is>
      </c>
      <c r="Y59" s="50" t="inlineStr">
        <is>
          <t>No</t>
        </is>
      </c>
      <c r="Z59" s="50" t="inlineStr">
        <is>
          <t>Low</t>
        </is>
      </c>
      <c r="AA59" s="50" t="inlineStr">
        <is>
          <t>6–12</t>
        </is>
      </c>
      <c r="AB59" s="50" t="inlineStr">
        <is>
          <t>Medium</t>
        </is>
      </c>
      <c r="AC59" s="50" t="n">
        <v>10</v>
      </c>
      <c r="AD59" s="50" t="inlineStr">
        <is>
          <t>Yes</t>
        </is>
      </c>
      <c r="AE59" s="50" t="inlineStr">
        <is>
          <t>S68, S69</t>
        </is>
      </c>
      <c r="AF59" s="50" t="inlineStr">
        <is>
          <t>Collins (S68): HF 181.6 ± 4.6 cm / 80.2 ± 5.8 kg / 13.0 ± 0.4% AT. Speed and scoring; CMJ peak power among highest in team.</t>
        </is>
      </c>
      <c r="AG59" s="50" t="inlineStr">
        <is>
          <t>M</t>
        </is>
      </c>
    </row>
    <row r="60" ht="63.75" customHeight="1" s="37">
      <c r="A60" s="50" t="inlineStr">
        <is>
          <t>SP36e</t>
        </is>
      </c>
      <c r="B60" s="50" t="inlineStr">
        <is>
          <t>Hurling</t>
        </is>
      </c>
      <c r="C60" s="50" t="inlineStr">
        <is>
          <t>Full-forward (male inter-county)</t>
        </is>
      </c>
      <c r="D60" s="50" t="inlineStr">
        <is>
          <t>Team field stick</t>
        </is>
      </c>
      <c r="E60" s="50" t="n">
        <v>177.3</v>
      </c>
      <c r="F60" s="50" t="n">
        <v>8.9</v>
      </c>
      <c r="G60" s="50" t="n">
        <v>75.5</v>
      </c>
      <c r="H60" s="50" t="n">
        <v>8.6</v>
      </c>
      <c r="I60" s="50" t="n">
        <v>24</v>
      </c>
      <c r="J60" s="50" t="n">
        <v>12.8</v>
      </c>
      <c r="K60" s="50" t="n"/>
      <c r="L60" s="50" t="n"/>
      <c r="M60" s="50" t="n">
        <v>8</v>
      </c>
      <c r="N60" s="50" t="n">
        <v>10</v>
      </c>
      <c r="O60" s="50" t="n">
        <v>7</v>
      </c>
      <c r="P60" s="50" t="n">
        <v>10</v>
      </c>
      <c r="Q60" s="50" t="n">
        <v>9</v>
      </c>
      <c r="R60" s="50" t="n">
        <v>8</v>
      </c>
      <c r="S60" s="50" t="n">
        <v>6</v>
      </c>
      <c r="T60" s="50" t="n">
        <v>10</v>
      </c>
      <c r="U60" s="50" t="n">
        <v>10</v>
      </c>
      <c r="V60" s="50" t="n">
        <v>15</v>
      </c>
      <c r="W60" s="50" t="inlineStr">
        <is>
          <t>Medium</t>
        </is>
      </c>
      <c r="X60" s="50" t="inlineStr">
        <is>
          <t>Outdoor</t>
        </is>
      </c>
      <c r="Y60" s="50" t="inlineStr">
        <is>
          <t>No</t>
        </is>
      </c>
      <c r="Z60" s="50" t="inlineStr">
        <is>
          <t>Low</t>
        </is>
      </c>
      <c r="AA60" s="50" t="inlineStr">
        <is>
          <t>6–12</t>
        </is>
      </c>
      <c r="AB60" s="50" t="inlineStr">
        <is>
          <t>Medium</t>
        </is>
      </c>
      <c r="AC60" s="50" t="n">
        <v>10</v>
      </c>
      <c r="AD60" s="50" t="inlineStr">
        <is>
          <t>Yes</t>
        </is>
      </c>
      <c r="AE60" s="50" t="inlineStr">
        <is>
          <t>S68, S69</t>
        </is>
      </c>
      <c r="AF60" s="50" t="inlineStr">
        <is>
          <t>Collins (S68): FF 177.3 ± 8.9 cm / 75.5 ± 8.6 kg / 12.8 ± 1.8% AT. Widest height SD in the team — scoring forwards vary from compact wristy strikers to tall target men. Highest CMJ heights recorded in this position.</t>
        </is>
      </c>
      <c r="AG60" s="50" t="inlineStr">
        <is>
          <t>M</t>
        </is>
      </c>
    </row>
    <row r="61" ht="63.75" customHeight="1" s="37">
      <c r="A61" s="50" t="inlineStr">
        <is>
          <t>SP37</t>
        </is>
      </c>
      <c r="B61" s="50" t="inlineStr">
        <is>
          <t>Camogie</t>
        </is>
      </c>
      <c r="C61" s="50" t="inlineStr">
        <is>
          <t>Senior inter-county (female)</t>
        </is>
      </c>
      <c r="D61" s="50" t="inlineStr">
        <is>
          <t>Team field stick</t>
        </is>
      </c>
      <c r="E61" s="50" t="n">
        <v>169</v>
      </c>
      <c r="F61" s="50" t="n">
        <v>5.6</v>
      </c>
      <c r="G61" s="50" t="n">
        <v>68.40000000000001</v>
      </c>
      <c r="H61" s="50" t="n">
        <v>7.4</v>
      </c>
      <c r="I61" s="50" t="n">
        <v>23.9</v>
      </c>
      <c r="J61" s="50" t="n">
        <v>23</v>
      </c>
      <c r="K61" s="50" t="n"/>
      <c r="L61" s="50" t="n"/>
      <c r="M61" s="50" t="n">
        <v>9</v>
      </c>
      <c r="N61" s="50" t="n">
        <v>9</v>
      </c>
      <c r="O61" s="50" t="n">
        <v>7</v>
      </c>
      <c r="P61" s="50" t="n">
        <v>8</v>
      </c>
      <c r="Q61" s="50" t="n">
        <v>8</v>
      </c>
      <c r="R61" s="50" t="n">
        <v>9</v>
      </c>
      <c r="S61" s="50" t="n">
        <v>6</v>
      </c>
      <c r="T61" s="50" t="n">
        <v>9</v>
      </c>
      <c r="U61" s="50" t="n">
        <v>9</v>
      </c>
      <c r="V61" s="50" t="n">
        <v>15</v>
      </c>
      <c r="W61" s="50" t="inlineStr">
        <is>
          <t>Light</t>
        </is>
      </c>
      <c r="X61" s="50" t="inlineStr">
        <is>
          <t>Outdoor</t>
        </is>
      </c>
      <c r="Y61" s="50" t="inlineStr">
        <is>
          <t>No</t>
        </is>
      </c>
      <c r="Z61" s="50" t="inlineStr">
        <is>
          <t>Low</t>
        </is>
      </c>
      <c r="AA61" s="50" t="inlineStr">
        <is>
          <t>6–12</t>
        </is>
      </c>
      <c r="AB61" s="50" t="inlineStr">
        <is>
          <t>Medium</t>
        </is>
      </c>
      <c r="AC61" s="50" t="n">
        <v>9</v>
      </c>
      <c r="AD61" s="50" t="inlineStr">
        <is>
          <t>Yes</t>
        </is>
      </c>
      <c r="AE61" s="50" t="inlineStr">
        <is>
          <t>S70, S71, S72</t>
        </is>
      </c>
      <c r="AF61" s="50" t="inlineStr">
        <is>
          <t>Daly 2021 (S70): 45 inter-county players, 168.97 ± 5.60 cm / 68.37 ± 7.44 kg. Young 2022 (S71) GPS cohort 167.2 ± 6.3 cm / 67.0 ± 7.5 kg. Positional differences in physical tests trivial-to-small.</t>
        </is>
      </c>
      <c r="AG61" s="50" t="inlineStr">
        <is>
          <t>F</t>
        </is>
      </c>
    </row>
    <row r="62" ht="63.75" customHeight="1" s="37">
      <c r="A62" s="50" t="inlineStr">
        <is>
          <t>SP38</t>
        </is>
      </c>
      <c r="B62" s="50" t="inlineStr">
        <is>
          <t>Ladies Gaelic football</t>
        </is>
      </c>
      <c r="C62" s="50" t="inlineStr">
        <is>
          <t>Senior inter-county (female)</t>
        </is>
      </c>
      <c r="D62" s="50" t="inlineStr">
        <is>
          <t>Team field</t>
        </is>
      </c>
      <c r="E62" s="50" t="n">
        <v>167</v>
      </c>
      <c r="F62" s="50" t="n">
        <v>6</v>
      </c>
      <c r="G62" s="50" t="n">
        <v>65</v>
      </c>
      <c r="H62" s="50" t="n">
        <v>6</v>
      </c>
      <c r="I62" s="50" t="n">
        <v>23.3</v>
      </c>
      <c r="J62" s="50" t="n">
        <v>22</v>
      </c>
      <c r="K62" s="50" t="n"/>
      <c r="L62" s="50" t="n"/>
      <c r="M62" s="50" t="n">
        <v>9</v>
      </c>
      <c r="N62" s="50" t="n">
        <v>8</v>
      </c>
      <c r="O62" s="50" t="n">
        <v>7</v>
      </c>
      <c r="P62" s="50" t="n">
        <v>8</v>
      </c>
      <c r="Q62" s="50" t="n">
        <v>8</v>
      </c>
      <c r="R62" s="50" t="n">
        <v>9</v>
      </c>
      <c r="S62" s="50" t="n">
        <v>6</v>
      </c>
      <c r="T62" s="50" t="n">
        <v>8</v>
      </c>
      <c r="U62" s="50" t="n">
        <v>8</v>
      </c>
      <c r="V62" s="50" t="n">
        <v>15</v>
      </c>
      <c r="W62" s="50" t="inlineStr">
        <is>
          <t>Medium</t>
        </is>
      </c>
      <c r="X62" s="50" t="inlineStr">
        <is>
          <t>Outdoor</t>
        </is>
      </c>
      <c r="Y62" s="50" t="inlineStr">
        <is>
          <t>No</t>
        </is>
      </c>
      <c r="Z62" s="50" t="inlineStr">
        <is>
          <t>Low</t>
        </is>
      </c>
      <c r="AA62" s="50" t="inlineStr">
        <is>
          <t>6–12</t>
        </is>
      </c>
      <c r="AB62" s="50" t="inlineStr">
        <is>
          <t>Medium</t>
        </is>
      </c>
      <c r="AC62" s="50" t="n">
        <v>9</v>
      </c>
      <c r="AD62" s="50" t="inlineStr">
        <is>
          <t>Yes</t>
        </is>
      </c>
      <c r="AE62" s="50" t="inlineStr">
        <is>
          <t>S72, S73</t>
        </is>
      </c>
      <c r="AF62" s="50" t="inlineStr">
        <is>
          <t>Adolescent and senior LGFA data from Byrne 2022 (S72) and supplementary literature (S73). Profile closely mirrors camogie with slightly lower BMI; female-specific elite anthropometric data still relatively thin and a clear v0.4 priority.</t>
        </is>
      </c>
      <c r="AG62" s="50" t="inlineStr">
        <is>
          <t>F</t>
        </is>
      </c>
    </row>
    <row r="63" ht="63.75" customHeight="1" s="37">
      <c r="A63" s="50" t="inlineStr">
        <is>
          <t>SP10b</t>
        </is>
      </c>
      <c r="B63" s="50" t="inlineStr">
        <is>
          <t>Gaelic football</t>
        </is>
      </c>
      <c r="C63" s="50" t="inlineStr">
        <is>
          <t>Half-back / midfield (male, lean cohort)</t>
        </is>
      </c>
      <c r="D63" s="50" t="inlineStr">
        <is>
          <t>Team field</t>
        </is>
      </c>
      <c r="E63" s="50" t="n">
        <v>183</v>
      </c>
      <c r="F63" s="50" t="n">
        <v>4</v>
      </c>
      <c r="G63" s="50" t="n">
        <v>81</v>
      </c>
      <c r="H63" s="50" t="n">
        <v>5</v>
      </c>
      <c r="I63" s="50" t="n">
        <v>24.2</v>
      </c>
      <c r="J63" s="50" t="n">
        <v>11.5</v>
      </c>
      <c r="K63" s="50" t="n"/>
      <c r="L63" s="50" t="n"/>
      <c r="M63" s="50" t="n">
        <v>10</v>
      </c>
      <c r="N63" s="50" t="n">
        <v>9</v>
      </c>
      <c r="O63" s="50" t="n">
        <v>7</v>
      </c>
      <c r="P63" s="50" t="n">
        <v>8</v>
      </c>
      <c r="Q63" s="50" t="n">
        <v>8</v>
      </c>
      <c r="R63" s="50" t="n">
        <v>10</v>
      </c>
      <c r="S63" s="50" t="n">
        <v>5</v>
      </c>
      <c r="T63" s="50" t="n">
        <v>9</v>
      </c>
      <c r="U63" s="50" t="n">
        <v>8</v>
      </c>
      <c r="V63" s="50" t="n">
        <v>15</v>
      </c>
      <c r="W63" s="50" t="inlineStr">
        <is>
          <t>Medium</t>
        </is>
      </c>
      <c r="X63" s="50" t="inlineStr">
        <is>
          <t>Outdoor</t>
        </is>
      </c>
      <c r="Y63" s="50" t="inlineStr">
        <is>
          <t>No</t>
        </is>
      </c>
      <c r="Z63" s="50" t="inlineStr">
        <is>
          <t>Low</t>
        </is>
      </c>
      <c r="AA63" s="50" t="inlineStr">
        <is>
          <t>6–10</t>
        </is>
      </c>
      <c r="AB63" s="50" t="inlineStr">
        <is>
          <t>Medium</t>
        </is>
      </c>
      <c r="AC63" s="50" t="n">
        <v>10</v>
      </c>
      <c r="AD63" s="50" t="inlineStr">
        <is>
          <t>Yes</t>
        </is>
      </c>
      <c r="AE63" s="50" t="inlineStr">
        <is>
          <t>S25, S26, S68</t>
        </is>
      </c>
      <c r="AF63" s="50" t="inlineStr">
        <is>
          <t>Half-backs and midfielders consistently leanest within elite Gaelic football cohorts (S25). Highest aerobic and Yo-Yo demand. Mirrors the midfield trend seen in hurling (S68).</t>
        </is>
      </c>
      <c r="AG63" s="50" t="inlineStr">
        <is>
          <t>M</t>
        </is>
      </c>
    </row>
    <row r="64" ht="63.75" customHeight="1" s="37">
      <c r="A64" s="50" t="inlineStr">
        <is>
          <t>SP10c</t>
        </is>
      </c>
      <c r="B64" s="50" t="inlineStr">
        <is>
          <t>Gaelic football</t>
        </is>
      </c>
      <c r="C64" s="50" t="inlineStr">
        <is>
          <t>Full-forward (male)</t>
        </is>
      </c>
      <c r="D64" s="50" t="inlineStr">
        <is>
          <t>Team field</t>
        </is>
      </c>
      <c r="E64" s="50" t="n">
        <v>184</v>
      </c>
      <c r="F64" s="50" t="n">
        <v>5</v>
      </c>
      <c r="G64" s="50" t="n">
        <v>84</v>
      </c>
      <c r="H64" s="50" t="n">
        <v>6</v>
      </c>
      <c r="I64" s="50" t="n">
        <v>24.8</v>
      </c>
      <c r="J64" s="50" t="n">
        <v>13.5</v>
      </c>
      <c r="K64" s="50" t="n"/>
      <c r="L64" s="50" t="n"/>
      <c r="M64" s="50" t="n">
        <v>8</v>
      </c>
      <c r="N64" s="50" t="n">
        <v>10</v>
      </c>
      <c r="O64" s="50" t="n">
        <v>7</v>
      </c>
      <c r="P64" s="50" t="n">
        <v>9</v>
      </c>
      <c r="Q64" s="50" t="n">
        <v>9</v>
      </c>
      <c r="R64" s="50" t="n">
        <v>8</v>
      </c>
      <c r="S64" s="50" t="n">
        <v>6</v>
      </c>
      <c r="T64" s="50" t="n">
        <v>10</v>
      </c>
      <c r="U64" s="50" t="n">
        <v>10</v>
      </c>
      <c r="V64" s="50" t="n">
        <v>15</v>
      </c>
      <c r="W64" s="50" t="inlineStr">
        <is>
          <t>Medium</t>
        </is>
      </c>
      <c r="X64" s="50" t="inlineStr">
        <is>
          <t>Outdoor</t>
        </is>
      </c>
      <c r="Y64" s="50" t="inlineStr">
        <is>
          <t>No</t>
        </is>
      </c>
      <c r="Z64" s="50" t="inlineStr">
        <is>
          <t>Low</t>
        </is>
      </c>
      <c r="AA64" s="50" t="inlineStr">
        <is>
          <t>6–10</t>
        </is>
      </c>
      <c r="AB64" s="50" t="inlineStr">
        <is>
          <t>Medium</t>
        </is>
      </c>
      <c r="AC64" s="50" t="n">
        <v>10</v>
      </c>
      <c r="AD64" s="50" t="inlineStr">
        <is>
          <t>Yes</t>
        </is>
      </c>
      <c r="AE64" s="50" t="inlineStr">
        <is>
          <t>S25, S26</t>
        </is>
      </c>
      <c r="AF64" s="50" t="inlineStr">
        <is>
          <t>Full-forwards in elite Gaelic football carry slightly higher adiposity than midfield/half-back lines (S25). Scoring and aerial finishing dominant; SJ and CMJ highest of all positions.</t>
        </is>
      </c>
      <c r="AG64" s="50" t="inlineStr">
        <is>
          <t>M</t>
        </is>
      </c>
    </row>
    <row r="65" ht="63.75" customHeight="1" s="37">
      <c r="A65" s="50" t="inlineStr">
        <is>
          <t>SP33F</t>
        </is>
      </c>
      <c r="B65" s="50" t="inlineStr">
        <is>
          <t>Volleyball</t>
        </is>
      </c>
      <c r="C65" s="50" t="inlineStr">
        <is>
          <t>Senior elite (female, all positions)</t>
        </is>
      </c>
      <c r="D65" s="50" t="inlineStr">
        <is>
          <t>Team court</t>
        </is>
      </c>
      <c r="E65" s="50" t="n">
        <v>180</v>
      </c>
      <c r="F65" s="50" t="n">
        <v>6</v>
      </c>
      <c r="G65" s="50" t="n">
        <v>70</v>
      </c>
      <c r="H65" s="50" t="n">
        <v>6</v>
      </c>
      <c r="I65" s="50" t="n">
        <v>21.6</v>
      </c>
      <c r="J65" s="50" t="n">
        <v>18</v>
      </c>
      <c r="K65" s="50" t="n">
        <v>1.04</v>
      </c>
      <c r="L65" s="50" t="n"/>
      <c r="M65" s="50" t="n">
        <v>7</v>
      </c>
      <c r="N65" s="50" t="n">
        <v>9</v>
      </c>
      <c r="O65" s="50" t="n">
        <v>6</v>
      </c>
      <c r="P65" s="50" t="n">
        <v>10</v>
      </c>
      <c r="Q65" s="50" t="n">
        <v>7</v>
      </c>
      <c r="R65" s="50" t="n">
        <v>7</v>
      </c>
      <c r="S65" s="50" t="n">
        <v>6</v>
      </c>
      <c r="T65" s="50" t="n">
        <v>9</v>
      </c>
      <c r="U65" s="50" t="n">
        <v>9</v>
      </c>
      <c r="V65" s="50" t="n">
        <v>6</v>
      </c>
      <c r="W65" s="50" t="inlineStr">
        <is>
          <t>None</t>
        </is>
      </c>
      <c r="X65" s="50" t="inlineStr">
        <is>
          <t>Indoor</t>
        </is>
      </c>
      <c r="Y65" s="50" t="inlineStr">
        <is>
          <t>No</t>
        </is>
      </c>
      <c r="Z65" s="50" t="inlineStr">
        <is>
          <t>Low</t>
        </is>
      </c>
      <c r="AA65" s="50" t="inlineStr">
        <is>
          <t>10–14</t>
        </is>
      </c>
      <c r="AB65" s="50" t="inlineStr">
        <is>
          <t>Medium</t>
        </is>
      </c>
      <c r="AC65" s="50" t="n">
        <v>5</v>
      </c>
      <c r="AD65" s="50" t="inlineStr">
        <is>
          <t>Some</t>
        </is>
      </c>
      <c r="AE65" s="50" t="inlineStr">
        <is>
          <t>S74</t>
        </is>
      </c>
      <c r="AF65" s="50" t="inlineStr">
        <is>
          <t>Female elite volleyball — taller than basketball or handball counterparts, lowest body fat in female team-sport literature, balanced mesomorphic build (S74). Selected youth national-team players 172 ± 6 cm / 62 ± 7 kg; senior elite cluster ~178–183 cm.</t>
        </is>
      </c>
      <c r="AG65" s="50" t="inlineStr">
        <is>
          <t>F</t>
        </is>
      </c>
    </row>
    <row r="66" ht="63.75" customHeight="1" s="37">
      <c r="A66" s="50" t="inlineStr">
        <is>
          <t>SP34F</t>
        </is>
      </c>
      <c r="B66" s="50" t="inlineStr">
        <is>
          <t>Handball</t>
        </is>
      </c>
      <c r="C66" s="50" t="inlineStr">
        <is>
          <t>Wing (female)</t>
        </is>
      </c>
      <c r="D66" s="50" t="inlineStr">
        <is>
          <t>Team court contact</t>
        </is>
      </c>
      <c r="E66" s="50" t="n">
        <v>170</v>
      </c>
      <c r="F66" s="50" t="n">
        <v>5</v>
      </c>
      <c r="G66" s="50" t="n">
        <v>64</v>
      </c>
      <c r="H66" s="50" t="n">
        <v>5</v>
      </c>
      <c r="I66" s="50" t="n">
        <v>22.1</v>
      </c>
      <c r="J66" s="50" t="n">
        <v>20</v>
      </c>
      <c r="K66" s="50" t="n"/>
      <c r="L66" s="50" t="n"/>
      <c r="M66" s="50" t="n">
        <v>8</v>
      </c>
      <c r="N66" s="50" t="n">
        <v>10</v>
      </c>
      <c r="O66" s="50" t="n">
        <v>7</v>
      </c>
      <c r="P66" s="50" t="n">
        <v>9</v>
      </c>
      <c r="Q66" s="50" t="n">
        <v>9</v>
      </c>
      <c r="R66" s="50" t="n">
        <v>8</v>
      </c>
      <c r="S66" s="50" t="n">
        <v>6</v>
      </c>
      <c r="T66" s="50" t="n">
        <v>9</v>
      </c>
      <c r="U66" s="50" t="n">
        <v>9</v>
      </c>
      <c r="V66" s="50" t="n">
        <v>7</v>
      </c>
      <c r="W66" s="50" t="inlineStr">
        <is>
          <t>Medium</t>
        </is>
      </c>
      <c r="X66" s="50" t="inlineStr">
        <is>
          <t>Indoor</t>
        </is>
      </c>
      <c r="Y66" s="50" t="inlineStr">
        <is>
          <t>No</t>
        </is>
      </c>
      <c r="Z66" s="50" t="inlineStr">
        <is>
          <t>Low</t>
        </is>
      </c>
      <c r="AA66" s="50" t="inlineStr">
        <is>
          <t>8–14</t>
        </is>
      </c>
      <c r="AB66" s="50" t="inlineStr">
        <is>
          <t>Medium</t>
        </is>
      </c>
      <c r="AC66" s="50" t="n">
        <v>2</v>
      </c>
      <c r="AD66" s="50" t="inlineStr">
        <is>
          <t>Some</t>
        </is>
      </c>
      <c r="AE66" s="50" t="inlineStr">
        <is>
          <t>S75, S76</t>
        </is>
      </c>
      <c r="AF66" s="50" t="inlineStr">
        <is>
          <t>Female handball wing players among the lightest; BMI 20.78 ± 1.22 (S75). Female elite handball Super Liga cohort mean 27.5 ± 4.5 y, lean mass and fat redistribute over preseason.</t>
        </is>
      </c>
      <c r="AG66" s="50" t="inlineStr">
        <is>
          <t>F</t>
        </is>
      </c>
    </row>
    <row r="67" ht="63.75" customHeight="1" s="37">
      <c r="A67" s="50" t="inlineStr">
        <is>
          <t>SP34Fb</t>
        </is>
      </c>
      <c r="B67" s="50" t="inlineStr">
        <is>
          <t>Handball</t>
        </is>
      </c>
      <c r="C67" s="50" t="inlineStr">
        <is>
          <t>Pivot / line (female)</t>
        </is>
      </c>
      <c r="D67" s="50" t="inlineStr">
        <is>
          <t>Team court contact</t>
        </is>
      </c>
      <c r="E67" s="50" t="n">
        <v>180</v>
      </c>
      <c r="F67" s="50" t="n">
        <v>5</v>
      </c>
      <c r="G67" s="50" t="n">
        <v>80</v>
      </c>
      <c r="H67" s="50" t="n">
        <v>6</v>
      </c>
      <c r="I67" s="50" t="n">
        <v>24.7</v>
      </c>
      <c r="J67" s="50" t="n">
        <v>25</v>
      </c>
      <c r="K67" s="50" t="n"/>
      <c r="L67" s="50" t="n"/>
      <c r="M67" s="50" t="n">
        <v>7</v>
      </c>
      <c r="N67" s="50" t="n">
        <v>10</v>
      </c>
      <c r="O67" s="50" t="n">
        <v>9</v>
      </c>
      <c r="P67" s="50" t="n">
        <v>8</v>
      </c>
      <c r="Q67" s="50" t="n">
        <v>6</v>
      </c>
      <c r="R67" s="50" t="n">
        <v>7</v>
      </c>
      <c r="S67" s="50" t="n">
        <v>5</v>
      </c>
      <c r="T67" s="50" t="n">
        <v>8</v>
      </c>
      <c r="U67" s="50" t="n">
        <v>8</v>
      </c>
      <c r="V67" s="50" t="n">
        <v>7</v>
      </c>
      <c r="W67" s="50" t="inlineStr">
        <is>
          <t>Heavy</t>
        </is>
      </c>
      <c r="X67" s="50" t="inlineStr">
        <is>
          <t>Indoor</t>
        </is>
      </c>
      <c r="Y67" s="50" t="inlineStr">
        <is>
          <t>No</t>
        </is>
      </c>
      <c r="Z67" s="50" t="inlineStr">
        <is>
          <t>Low</t>
        </is>
      </c>
      <c r="AA67" s="50" t="inlineStr">
        <is>
          <t>8–14</t>
        </is>
      </c>
      <c r="AB67" s="50" t="inlineStr">
        <is>
          <t>High</t>
        </is>
      </c>
      <c r="AC67" s="50" t="n">
        <v>2</v>
      </c>
      <c r="AD67" s="50" t="inlineStr">
        <is>
          <t>Some</t>
        </is>
      </c>
      <c r="AE67" s="50" t="inlineStr">
        <is>
          <t>S75, S76</t>
        </is>
      </c>
      <c r="AF67" s="50" t="inlineStr">
        <is>
          <t>Female pivots heaviest in the team; BMI 24.37 ± 1.66 (S75). Operate against physical contact at the 6m line; similar role-shape to male game but lower absolute mass.</t>
        </is>
      </c>
      <c r="AG67" s="50" t="inlineStr">
        <is>
          <t>F</t>
        </is>
      </c>
    </row>
    <row r="68" ht="63.75" customHeight="1" s="37">
      <c r="A68" s="50" t="inlineStr">
        <is>
          <t>SP35F</t>
        </is>
      </c>
      <c r="B68" s="50" t="inlineStr">
        <is>
          <t>Field hockey</t>
        </is>
      </c>
      <c r="C68" s="50" t="inlineStr">
        <is>
          <t>Senior elite (female)</t>
        </is>
      </c>
      <c r="D68" s="50" t="inlineStr">
        <is>
          <t>Team field</t>
        </is>
      </c>
      <c r="E68" s="50" t="n">
        <v>165</v>
      </c>
      <c r="F68" s="50" t="n">
        <v>6</v>
      </c>
      <c r="G68" s="50" t="n">
        <v>62</v>
      </c>
      <c r="H68" s="50" t="n">
        <v>6</v>
      </c>
      <c r="I68" s="50" t="n">
        <v>22.8</v>
      </c>
      <c r="J68" s="50" t="n">
        <v>22</v>
      </c>
      <c r="K68" s="50" t="n"/>
      <c r="L68" s="50" t="n"/>
      <c r="M68" s="50" t="n">
        <v>9</v>
      </c>
      <c r="N68" s="50" t="n">
        <v>8</v>
      </c>
      <c r="O68" s="50" t="n">
        <v>6</v>
      </c>
      <c r="P68" s="50" t="n">
        <v>8</v>
      </c>
      <c r="Q68" s="50" t="n">
        <v>8</v>
      </c>
      <c r="R68" s="50" t="n">
        <v>9</v>
      </c>
      <c r="S68" s="50" t="n">
        <v>6</v>
      </c>
      <c r="T68" s="50" t="n">
        <v>9</v>
      </c>
      <c r="U68" s="50" t="n">
        <v>8</v>
      </c>
      <c r="V68" s="50" t="n">
        <v>11</v>
      </c>
      <c r="W68" s="50" t="inlineStr">
        <is>
          <t>Light</t>
        </is>
      </c>
      <c r="X68" s="50" t="inlineStr">
        <is>
          <t>Outdoor</t>
        </is>
      </c>
      <c r="Y68" s="50" t="inlineStr">
        <is>
          <t>No</t>
        </is>
      </c>
      <c r="Z68" s="50" t="inlineStr">
        <is>
          <t>Low</t>
        </is>
      </c>
      <c r="AA68" s="50" t="inlineStr">
        <is>
          <t>5–10</t>
        </is>
      </c>
      <c r="AB68" s="50" t="inlineStr">
        <is>
          <t>Medium</t>
        </is>
      </c>
      <c r="AC68" s="50" t="n">
        <v>6</v>
      </c>
      <c r="AD68" s="50" t="inlineStr">
        <is>
          <t>Yes</t>
        </is>
      </c>
      <c r="AE68" s="50" t="inlineStr">
        <is>
          <t>S67, S77</t>
        </is>
      </c>
      <c r="AF68" s="50" t="inlineStr">
        <is>
          <t>Female elite field hockey — international cohorts 161–168 cm / 60–65 kg (S67). US collegiate cohort BF ~22% (S77). Like men, shorter and lighter than the average Olympic female athlete.</t>
        </is>
      </c>
      <c r="AG68" s="50" t="inlineStr">
        <is>
          <t>F</t>
        </is>
      </c>
    </row>
    <row r="69" ht="63.75" customHeight="1" s="37">
      <c r="A69" s="50" t="inlineStr">
        <is>
          <t>SP29F</t>
        </is>
      </c>
      <c r="B69" s="50" t="inlineStr">
        <is>
          <t>Ice hockey</t>
        </is>
      </c>
      <c r="C69" s="50" t="inlineStr">
        <is>
          <t>Senior elite (female)</t>
        </is>
      </c>
      <c r="D69" s="50" t="inlineStr">
        <is>
          <t>Team contact ice</t>
        </is>
      </c>
      <c r="E69" s="50" t="n">
        <v>170</v>
      </c>
      <c r="F69" s="50" t="n">
        <v>6</v>
      </c>
      <c r="G69" s="50" t="n">
        <v>70</v>
      </c>
      <c r="H69" s="50" t="n">
        <v>7</v>
      </c>
      <c r="I69" s="50" t="n">
        <v>24.2</v>
      </c>
      <c r="J69" s="50" t="n">
        <v>22</v>
      </c>
      <c r="K69" s="50" t="n"/>
      <c r="L69" s="50" t="n"/>
      <c r="M69" s="50" t="n">
        <v>8</v>
      </c>
      <c r="N69" s="50" t="n">
        <v>9</v>
      </c>
      <c r="O69" s="50" t="n">
        <v>7</v>
      </c>
      <c r="P69" s="50" t="n">
        <v>8</v>
      </c>
      <c r="Q69" s="50" t="n">
        <v>8</v>
      </c>
      <c r="R69" s="50" t="n">
        <v>7</v>
      </c>
      <c r="S69" s="50" t="n">
        <v>6</v>
      </c>
      <c r="T69" s="50" t="n">
        <v>9</v>
      </c>
      <c r="U69" s="50" t="n">
        <v>9</v>
      </c>
      <c r="V69" s="50" t="n">
        <v>6</v>
      </c>
      <c r="W69" s="50" t="inlineStr">
        <is>
          <t>Heavy</t>
        </is>
      </c>
      <c r="X69" s="50" t="inlineStr">
        <is>
          <t>Indoor</t>
        </is>
      </c>
      <c r="Y69" s="50" t="inlineStr">
        <is>
          <t>No</t>
        </is>
      </c>
      <c r="Z69" s="50" t="inlineStr">
        <is>
          <t>High</t>
        </is>
      </c>
      <c r="AA69" s="50" t="inlineStr">
        <is>
          <t>5–10</t>
        </is>
      </c>
      <c r="AB69" s="50" t="inlineStr">
        <is>
          <t>High</t>
        </is>
      </c>
      <c r="AC69" s="50" t="n">
        <v>3</v>
      </c>
      <c r="AD69" s="50" t="inlineStr">
        <is>
          <t>Some</t>
        </is>
      </c>
      <c r="AE69" s="50" t="inlineStr">
        <is>
          <t>S77, S58</t>
        </is>
      </c>
      <c r="AF69" s="50" t="inlineStr">
        <is>
          <t>University of Alberta women's ice hockey 112 players (21.4 ± 2.9 y) (S77). Adolescent elite female ice hockey 14.96 y mean; taller-heavier prototype does NOT translate as cleanly to on-ice performance for females as it does for males.</t>
        </is>
      </c>
      <c r="AG69" s="50" t="inlineStr">
        <is>
          <t>F</t>
        </is>
      </c>
    </row>
    <row r="70" ht="63.75" customHeight="1" s="37">
      <c r="A70" s="50" t="inlineStr">
        <is>
          <t>SP39</t>
        </is>
      </c>
      <c r="B70" s="50" t="inlineStr">
        <is>
          <t>Futsal</t>
        </is>
      </c>
      <c r="C70" s="50" t="inlineStr">
        <is>
          <t>Senior elite (male)</t>
        </is>
      </c>
      <c r="D70" s="50" t="inlineStr">
        <is>
          <t>Team court</t>
        </is>
      </c>
      <c r="E70" s="50" t="n">
        <v>176</v>
      </c>
      <c r="F70" s="50" t="n">
        <v>6</v>
      </c>
      <c r="G70" s="50" t="n">
        <v>73</v>
      </c>
      <c r="H70" s="50" t="n">
        <v>6</v>
      </c>
      <c r="I70" s="50" t="n">
        <v>23.6</v>
      </c>
      <c r="J70" s="50" t="n">
        <v>11</v>
      </c>
      <c r="K70" s="50" t="n"/>
      <c r="L70" s="50" t="n"/>
      <c r="M70" s="50" t="n">
        <v>9</v>
      </c>
      <c r="N70" s="50" t="n">
        <v>10</v>
      </c>
      <c r="O70" s="50" t="n">
        <v>6</v>
      </c>
      <c r="P70" s="50" t="n">
        <v>9</v>
      </c>
      <c r="Q70" s="50" t="n">
        <v>9</v>
      </c>
      <c r="R70" s="50" t="n">
        <v>8</v>
      </c>
      <c r="S70" s="50" t="n">
        <v>6</v>
      </c>
      <c r="T70" s="50" t="n">
        <v>10</v>
      </c>
      <c r="U70" s="50" t="n">
        <v>10</v>
      </c>
      <c r="V70" s="50" t="n">
        <v>5</v>
      </c>
      <c r="W70" s="50" t="inlineStr">
        <is>
          <t>Light</t>
        </is>
      </c>
      <c r="X70" s="50" t="inlineStr">
        <is>
          <t>Indoor</t>
        </is>
      </c>
      <c r="Y70" s="50" t="inlineStr">
        <is>
          <t>No</t>
        </is>
      </c>
      <c r="Z70" s="50" t="inlineStr">
        <is>
          <t>Low</t>
        </is>
      </c>
      <c r="AA70" s="50" t="inlineStr">
        <is>
          <t>5–10</t>
        </is>
      </c>
      <c r="AB70" s="50" t="inlineStr">
        <is>
          <t>Medium</t>
        </is>
      </c>
      <c r="AC70" s="50" t="n">
        <v>6</v>
      </c>
      <c r="AD70" s="50" t="inlineStr">
        <is>
          <t>Some</t>
        </is>
      </c>
      <c r="AE70" s="50" t="inlineStr">
        <is>
          <t>S85</t>
        </is>
      </c>
      <c r="AF70" s="50" t="inlineStr">
        <is>
          <t>Systematic review of 10 elite male futsal studies — field players have higher VO2max, VT and HR responses than goalkeepers (S85). Mesomorphic somatotype dominant; high anaerobic-to-aerobic ratio reflects 40m × 20m court demands.</t>
        </is>
      </c>
      <c r="AG70" s="50" t="inlineStr">
        <is>
          <t>M</t>
        </is>
      </c>
    </row>
    <row r="71" ht="63.75" customHeight="1" s="37">
      <c r="A71" s="50" t="inlineStr">
        <is>
          <t>SP39F</t>
        </is>
      </c>
      <c r="B71" s="50" t="inlineStr">
        <is>
          <t>Futsal</t>
        </is>
      </c>
      <c r="C71" s="50" t="inlineStr">
        <is>
          <t>Senior elite (female, Brazilian)</t>
        </is>
      </c>
      <c r="D71" s="50" t="inlineStr">
        <is>
          <t>Team court</t>
        </is>
      </c>
      <c r="E71" s="50" t="n">
        <v>163</v>
      </c>
      <c r="F71" s="50" t="n">
        <v>6</v>
      </c>
      <c r="G71" s="50" t="n">
        <v>60</v>
      </c>
      <c r="H71" s="50" t="n">
        <v>6</v>
      </c>
      <c r="I71" s="50" t="n">
        <v>22.6</v>
      </c>
      <c r="J71" s="50" t="n">
        <v>22</v>
      </c>
      <c r="K71" s="50" t="n"/>
      <c r="L71" s="50" t="n"/>
      <c r="M71" s="50" t="n">
        <v>9</v>
      </c>
      <c r="N71" s="50" t="n">
        <v>10</v>
      </c>
      <c r="O71" s="50" t="n">
        <v>6</v>
      </c>
      <c r="P71" s="50" t="n">
        <v>9</v>
      </c>
      <c r="Q71" s="50" t="n">
        <v>9</v>
      </c>
      <c r="R71" s="50" t="n">
        <v>8</v>
      </c>
      <c r="S71" s="50" t="n">
        <v>6</v>
      </c>
      <c r="T71" s="50" t="n">
        <v>10</v>
      </c>
      <c r="U71" s="50" t="n">
        <v>10</v>
      </c>
      <c r="V71" s="50" t="n">
        <v>5</v>
      </c>
      <c r="W71" s="50" t="inlineStr">
        <is>
          <t>Light</t>
        </is>
      </c>
      <c r="X71" s="50" t="inlineStr">
        <is>
          <t>Indoor</t>
        </is>
      </c>
      <c r="Y71" s="50" t="inlineStr">
        <is>
          <t>No</t>
        </is>
      </c>
      <c r="Z71" s="50" t="inlineStr">
        <is>
          <t>Low</t>
        </is>
      </c>
      <c r="AA71" s="50" t="inlineStr">
        <is>
          <t>5–10</t>
        </is>
      </c>
      <c r="AB71" s="50" t="inlineStr">
        <is>
          <t>Medium</t>
        </is>
      </c>
      <c r="AC71" s="50" t="n">
        <v>5</v>
      </c>
      <c r="AD71" s="50" t="inlineStr">
        <is>
          <t>Some</t>
        </is>
      </c>
      <c r="AE71" s="50" t="inlineStr">
        <is>
          <t>S86</t>
        </is>
      </c>
      <c r="AF71" s="50" t="inlineStr">
        <is>
          <t>20-year Brazilian elite female futsal study (n=396) (S86). Mesomorphic-endomorphic somatotype with measurable lean-mass increases across cohorts since 2001.</t>
        </is>
      </c>
      <c r="AG71" s="50" t="inlineStr">
        <is>
          <t>F</t>
        </is>
      </c>
    </row>
    <row r="72" ht="63.75" customHeight="1" s="37">
      <c r="A72" s="50" t="inlineStr">
        <is>
          <t>SP40</t>
        </is>
      </c>
      <c r="B72" s="50" t="inlineStr">
        <is>
          <t>American football</t>
        </is>
      </c>
      <c r="C72" s="50" t="inlineStr">
        <is>
          <t>Offensive / defensive line (NFL)</t>
        </is>
      </c>
      <c r="D72" s="50" t="inlineStr">
        <is>
          <t>Team field contact</t>
        </is>
      </c>
      <c r="E72" s="50" t="n">
        <v>191</v>
      </c>
      <c r="F72" s="50" t="n">
        <v>4</v>
      </c>
      <c r="G72" s="50" t="n">
        <v>138</v>
      </c>
      <c r="H72" s="50" t="n">
        <v>10</v>
      </c>
      <c r="I72" s="50" t="n">
        <v>37.8</v>
      </c>
      <c r="J72" s="50" t="n">
        <v>25</v>
      </c>
      <c r="K72" s="50" t="n"/>
      <c r="L72" s="50" t="n"/>
      <c r="M72" s="50" t="n">
        <v>5</v>
      </c>
      <c r="N72" s="50" t="n">
        <v>8</v>
      </c>
      <c r="O72" s="50" t="n">
        <v>10</v>
      </c>
      <c r="P72" s="50" t="n">
        <v>8</v>
      </c>
      <c r="Q72" s="50" t="n">
        <v>5</v>
      </c>
      <c r="R72" s="50" t="n">
        <v>5</v>
      </c>
      <c r="S72" s="50" t="n">
        <v>4</v>
      </c>
      <c r="T72" s="50" t="n">
        <v>8</v>
      </c>
      <c r="U72" s="50" t="n">
        <v>7</v>
      </c>
      <c r="V72" s="50" t="n">
        <v>11</v>
      </c>
      <c r="W72" s="50" t="inlineStr">
        <is>
          <t>Heavy</t>
        </is>
      </c>
      <c r="X72" s="50" t="inlineStr">
        <is>
          <t>Outdoor</t>
        </is>
      </c>
      <c r="Y72" s="50" t="inlineStr">
        <is>
          <t>No</t>
        </is>
      </c>
      <c r="Z72" s="50" t="inlineStr">
        <is>
          <t>Low</t>
        </is>
      </c>
      <c r="AA72" s="50" t="inlineStr">
        <is>
          <t>12–18</t>
        </is>
      </c>
      <c r="AB72" s="50" t="inlineStr">
        <is>
          <t>High</t>
        </is>
      </c>
      <c r="AC72" s="50" t="n">
        <v>1</v>
      </c>
      <c r="AD72" s="50" t="inlineStr">
        <is>
          <t>No</t>
        </is>
      </c>
      <c r="AE72" s="50" t="inlineStr">
        <is>
          <t>S80, S81</t>
        </is>
      </c>
      <c r="AF72" s="50" t="inlineStr">
        <is>
          <t>Linemen heaviest position in NFL; lean-mass accrual plateaus around 114 kg above which fat mass dominates (S80). DXA studies of linemen show BF 24–28% (S81). Comparable mass to elite strongman but slightly leaner.</t>
        </is>
      </c>
      <c r="AG72" s="50" t="inlineStr">
        <is>
          <t>M</t>
        </is>
      </c>
    </row>
    <row r="73" ht="63.75" customHeight="1" s="37">
      <c r="A73" s="50" t="inlineStr">
        <is>
          <t>SP40b</t>
        </is>
      </c>
      <c r="B73" s="50" t="inlineStr">
        <is>
          <t>American football</t>
        </is>
      </c>
      <c r="C73" s="50" t="inlineStr">
        <is>
          <t>Wide receiver / defensive back (NFL)</t>
        </is>
      </c>
      <c r="D73" s="50" t="inlineStr">
        <is>
          <t>Team field contact</t>
        </is>
      </c>
      <c r="E73" s="50" t="n">
        <v>183</v>
      </c>
      <c r="F73" s="50" t="n">
        <v>5</v>
      </c>
      <c r="G73" s="50" t="n">
        <v>88</v>
      </c>
      <c r="H73" s="50" t="n">
        <v>6</v>
      </c>
      <c r="I73" s="50" t="n">
        <v>26.3</v>
      </c>
      <c r="J73" s="50" t="n">
        <v>10</v>
      </c>
      <c r="K73" s="50" t="n"/>
      <c r="L73" s="50" t="n"/>
      <c r="M73" s="50" t="n">
        <v>7</v>
      </c>
      <c r="N73" s="50" t="n">
        <v>10</v>
      </c>
      <c r="O73" s="50" t="n">
        <v>8</v>
      </c>
      <c r="P73" s="50" t="n">
        <v>10</v>
      </c>
      <c r="Q73" s="50" t="n">
        <v>10</v>
      </c>
      <c r="R73" s="50" t="n">
        <v>7</v>
      </c>
      <c r="S73" s="50" t="n">
        <v>6</v>
      </c>
      <c r="T73" s="50" t="n">
        <v>9</v>
      </c>
      <c r="U73" s="50" t="n">
        <v>9</v>
      </c>
      <c r="V73" s="50" t="n">
        <v>11</v>
      </c>
      <c r="W73" s="50" t="inlineStr">
        <is>
          <t>Heavy</t>
        </is>
      </c>
      <c r="X73" s="50" t="inlineStr">
        <is>
          <t>Outdoor</t>
        </is>
      </c>
      <c r="Y73" s="50" t="inlineStr">
        <is>
          <t>No</t>
        </is>
      </c>
      <c r="Z73" s="50" t="inlineStr">
        <is>
          <t>Low</t>
        </is>
      </c>
      <c r="AA73" s="50" t="inlineStr">
        <is>
          <t>12–18</t>
        </is>
      </c>
      <c r="AB73" s="50" t="inlineStr">
        <is>
          <t>High</t>
        </is>
      </c>
      <c r="AC73" s="50" t="n">
        <v>1</v>
      </c>
      <c r="AD73" s="50" t="inlineStr">
        <is>
          <t>No</t>
        </is>
      </c>
      <c r="AE73" s="50" t="inlineStr">
        <is>
          <t>S80, S81</t>
        </is>
      </c>
      <c r="AF73" s="50" t="inlineStr">
        <is>
          <t>Skill positions — among the leanest and most explosive athletes in any team sport (S81). 40-yard dash and vertical jump dominate the NFL Combine evaluation.</t>
        </is>
      </c>
      <c r="AG73" s="50" t="inlineStr">
        <is>
          <t>M</t>
        </is>
      </c>
    </row>
    <row r="74" ht="63.75" customHeight="1" s="37">
      <c r="A74" s="50" t="inlineStr">
        <is>
          <t>SP40c</t>
        </is>
      </c>
      <c r="B74" s="50" t="inlineStr">
        <is>
          <t>American football</t>
        </is>
      </c>
      <c r="C74" s="50" t="inlineStr">
        <is>
          <t>Quarterback (NFL)</t>
        </is>
      </c>
      <c r="D74" s="50" t="inlineStr">
        <is>
          <t>Team field contact</t>
        </is>
      </c>
      <c r="E74" s="50" t="n">
        <v>189</v>
      </c>
      <c r="F74" s="50" t="n">
        <v>5</v>
      </c>
      <c r="G74" s="50" t="n">
        <v>100</v>
      </c>
      <c r="H74" s="50" t="n">
        <v>6</v>
      </c>
      <c r="I74" s="50" t="n">
        <v>28</v>
      </c>
      <c r="J74" s="50" t="n">
        <v>14</v>
      </c>
      <c r="K74" s="50" t="n"/>
      <c r="L74" s="50" t="n"/>
      <c r="M74" s="50" t="n">
        <v>6</v>
      </c>
      <c r="N74" s="50" t="n">
        <v>8</v>
      </c>
      <c r="O74" s="50" t="n">
        <v>7</v>
      </c>
      <c r="P74" s="50" t="n">
        <v>9</v>
      </c>
      <c r="Q74" s="50" t="n">
        <v>7</v>
      </c>
      <c r="R74" s="50" t="n">
        <v>6</v>
      </c>
      <c r="S74" s="50" t="n">
        <v>6</v>
      </c>
      <c r="T74" s="50" t="n">
        <v>10</v>
      </c>
      <c r="U74" s="50" t="n">
        <v>10</v>
      </c>
      <c r="V74" s="50" t="n">
        <v>11</v>
      </c>
      <c r="W74" s="50" t="inlineStr">
        <is>
          <t>Heavy</t>
        </is>
      </c>
      <c r="X74" s="50" t="inlineStr">
        <is>
          <t>Outdoor</t>
        </is>
      </c>
      <c r="Y74" s="50" t="inlineStr">
        <is>
          <t>No</t>
        </is>
      </c>
      <c r="Z74" s="50" t="inlineStr">
        <is>
          <t>Low</t>
        </is>
      </c>
      <c r="AA74" s="50" t="inlineStr">
        <is>
          <t>12–18</t>
        </is>
      </c>
      <c r="AB74" s="50" t="inlineStr">
        <is>
          <t>Medium</t>
        </is>
      </c>
      <c r="AC74" s="50" t="n">
        <v>1</v>
      </c>
      <c r="AD74" s="50" t="inlineStr">
        <is>
          <t>No</t>
        </is>
      </c>
      <c r="AE74" s="50" t="inlineStr">
        <is>
          <t>S81</t>
        </is>
      </c>
      <c r="AF74" s="50" t="inlineStr">
        <is>
          <t>Quarterback profile distinct — taller average than receivers (passing visibility), heavier and stronger than skill positions but markedly leaner than linemen. Coordination and reaction time most predictive of QB success.</t>
        </is>
      </c>
      <c r="AG74" s="50" t="inlineStr">
        <is>
          <t>M</t>
        </is>
      </c>
    </row>
    <row r="75" ht="63.75" customHeight="1" s="37">
      <c r="A75" s="50" t="inlineStr">
        <is>
          <t>SP41</t>
        </is>
      </c>
      <c r="B75" s="50" t="inlineStr">
        <is>
          <t>Australian rules football</t>
        </is>
      </c>
      <c r="C75" s="50" t="inlineStr">
        <is>
          <t>Senior elite (male, AFL)</t>
        </is>
      </c>
      <c r="D75" s="50" t="inlineStr">
        <is>
          <t>Team field contact</t>
        </is>
      </c>
      <c r="E75" s="50" t="n">
        <v>188</v>
      </c>
      <c r="F75" s="50" t="n">
        <v>7</v>
      </c>
      <c r="G75" s="50" t="n">
        <v>86</v>
      </c>
      <c r="H75" s="50" t="n">
        <v>8</v>
      </c>
      <c r="I75" s="50" t="n">
        <v>24.3</v>
      </c>
      <c r="J75" s="50" t="n">
        <v>12.3</v>
      </c>
      <c r="K75" s="50" t="n"/>
      <c r="L75" s="50" t="n"/>
      <c r="M75" s="50" t="n">
        <v>9</v>
      </c>
      <c r="N75" s="50" t="n">
        <v>9</v>
      </c>
      <c r="O75" s="50" t="n">
        <v>7</v>
      </c>
      <c r="P75" s="50" t="n">
        <v>9</v>
      </c>
      <c r="Q75" s="50" t="n">
        <v>9</v>
      </c>
      <c r="R75" s="50" t="n">
        <v>9</v>
      </c>
      <c r="S75" s="50" t="n">
        <v>5</v>
      </c>
      <c r="T75" s="50" t="n">
        <v>9</v>
      </c>
      <c r="U75" s="50" t="n">
        <v>8</v>
      </c>
      <c r="V75" s="50" t="n">
        <v>18</v>
      </c>
      <c r="W75" s="50" t="inlineStr">
        <is>
          <t>Medium</t>
        </is>
      </c>
      <c r="X75" s="50" t="inlineStr">
        <is>
          <t>Outdoor</t>
        </is>
      </c>
      <c r="Y75" s="50" t="inlineStr">
        <is>
          <t>No</t>
        </is>
      </c>
      <c r="Z75" s="50" t="inlineStr">
        <is>
          <t>Low</t>
        </is>
      </c>
      <c r="AA75" s="50" t="inlineStr">
        <is>
          <t>8–14</t>
        </is>
      </c>
      <c r="AB75" s="50" t="inlineStr">
        <is>
          <t>High</t>
        </is>
      </c>
      <c r="AC75" s="50" t="n">
        <v>1</v>
      </c>
      <c r="AD75" s="50" t="inlineStr">
        <is>
          <t>No</t>
        </is>
      </c>
      <c r="AE75" s="50" t="inlineStr">
        <is>
          <t>S78, S79</t>
        </is>
      </c>
      <c r="AF75" s="50" t="inlineStr">
        <is>
          <t>Experienced AFL men 188 ± 6.9 cm / 86 ± 7.8 kg / WBLH FM% 12.3 ± 2.1% (S79). Tall midfielders (200+ cm ruckmen the extreme), tall key-position players forward and back, compact half-back and small-forward types.</t>
        </is>
      </c>
      <c r="AG75" s="50" t="inlineStr">
        <is>
          <t>M</t>
        </is>
      </c>
    </row>
    <row r="76" ht="63.75" customHeight="1" s="37">
      <c r="A76" s="50" t="inlineStr">
        <is>
          <t>SP41F</t>
        </is>
      </c>
      <c r="B76" s="50" t="inlineStr">
        <is>
          <t>Australian rules football</t>
        </is>
      </c>
      <c r="C76" s="50" t="inlineStr">
        <is>
          <t>Senior elite (female, AFLW)</t>
        </is>
      </c>
      <c r="D76" s="50" t="inlineStr">
        <is>
          <t>Team field contact</t>
        </is>
      </c>
      <c r="E76" s="50" t="n">
        <v>171</v>
      </c>
      <c r="F76" s="50" t="n">
        <v>6</v>
      </c>
      <c r="G76" s="50" t="n">
        <v>65</v>
      </c>
      <c r="H76" s="50" t="n">
        <v>6</v>
      </c>
      <c r="I76" s="50" t="n">
        <v>22.2</v>
      </c>
      <c r="J76" s="50" t="n">
        <v>19.2</v>
      </c>
      <c r="K76" s="50" t="n"/>
      <c r="L76" s="50" t="n"/>
      <c r="M76" s="50" t="n">
        <v>9</v>
      </c>
      <c r="N76" s="50" t="n">
        <v>9</v>
      </c>
      <c r="O76" s="50" t="n">
        <v>7</v>
      </c>
      <c r="P76" s="50" t="n">
        <v>8</v>
      </c>
      <c r="Q76" s="50" t="n">
        <v>8</v>
      </c>
      <c r="R76" s="50" t="n">
        <v>9</v>
      </c>
      <c r="S76" s="50" t="n">
        <v>5</v>
      </c>
      <c r="T76" s="50" t="n">
        <v>9</v>
      </c>
      <c r="U76" s="50" t="n">
        <v>8</v>
      </c>
      <c r="V76" s="50" t="n">
        <v>18</v>
      </c>
      <c r="W76" s="50" t="inlineStr">
        <is>
          <t>Medium</t>
        </is>
      </c>
      <c r="X76" s="50" t="inlineStr">
        <is>
          <t>Outdoor</t>
        </is>
      </c>
      <c r="Y76" s="50" t="inlineStr">
        <is>
          <t>No</t>
        </is>
      </c>
      <c r="Z76" s="50" t="inlineStr">
        <is>
          <t>Low</t>
        </is>
      </c>
      <c r="AA76" s="50" t="inlineStr">
        <is>
          <t>12–18</t>
        </is>
      </c>
      <c r="AB76" s="50" t="inlineStr">
        <is>
          <t>High</t>
        </is>
      </c>
      <c r="AC76" s="50" t="n">
        <v>1</v>
      </c>
      <c r="AD76" s="50" t="inlineStr">
        <is>
          <t>No</t>
        </is>
      </c>
      <c r="AE76" s="50" t="inlineStr">
        <is>
          <t>S79</t>
        </is>
      </c>
      <c r="AF76" s="50" t="inlineStr">
        <is>
          <t>Experienced AFLW women 171 ± 6.3 cm / 65 ± 6.2 kg / WBLH FM% 19.2 ± 3.5% (S79). Significant musculoskeletal adaptation seen between inexperienced and experienced players even across short careers.</t>
        </is>
      </c>
      <c r="AG76" s="50" t="inlineStr">
        <is>
          <t>F</t>
        </is>
      </c>
    </row>
    <row r="77" ht="63.75" customHeight="1" s="37">
      <c r="A77" s="50" t="inlineStr">
        <is>
          <t>SP42</t>
        </is>
      </c>
      <c r="B77" s="50" t="inlineStr">
        <is>
          <t>Netball</t>
        </is>
      </c>
      <c r="C77" s="50" t="inlineStr">
        <is>
          <t>Senior elite (female, mixed positions)</t>
        </is>
      </c>
      <c r="D77" s="50" t="inlineStr">
        <is>
          <t>Team court</t>
        </is>
      </c>
      <c r="E77" s="50" t="n">
        <v>182.4</v>
      </c>
      <c r="F77" s="50" t="n">
        <v>7.2</v>
      </c>
      <c r="G77" s="50" t="n">
        <v>73.40000000000001</v>
      </c>
      <c r="H77" s="50" t="n">
        <v>7</v>
      </c>
      <c r="I77" s="50" t="n">
        <v>22.1</v>
      </c>
      <c r="J77" s="50" t="n">
        <v>22</v>
      </c>
      <c r="K77" s="50" t="n"/>
      <c r="L77" s="50" t="n"/>
      <c r="M77" s="50" t="n">
        <v>8</v>
      </c>
      <c r="N77" s="50" t="n">
        <v>9</v>
      </c>
      <c r="O77" s="50" t="n">
        <v>6</v>
      </c>
      <c r="P77" s="50" t="n">
        <v>9</v>
      </c>
      <c r="Q77" s="50" t="n">
        <v>8</v>
      </c>
      <c r="R77" s="50" t="n">
        <v>8</v>
      </c>
      <c r="S77" s="50" t="n">
        <v>6</v>
      </c>
      <c r="T77" s="50" t="n">
        <v>9</v>
      </c>
      <c r="U77" s="50" t="n">
        <v>9</v>
      </c>
      <c r="V77" s="50" t="n">
        <v>7</v>
      </c>
      <c r="W77" s="50" t="inlineStr">
        <is>
          <t>None</t>
        </is>
      </c>
      <c r="X77" s="50" t="inlineStr">
        <is>
          <t>Indoor</t>
        </is>
      </c>
      <c r="Y77" s="50" t="inlineStr">
        <is>
          <t>No</t>
        </is>
      </c>
      <c r="Z77" s="50" t="inlineStr">
        <is>
          <t>Low</t>
        </is>
      </c>
      <c r="AA77" s="50" t="inlineStr">
        <is>
          <t>10–14</t>
        </is>
      </c>
      <c r="AB77" s="50" t="inlineStr">
        <is>
          <t>Medium</t>
        </is>
      </c>
      <c r="AC77" s="50" t="n">
        <v>4</v>
      </c>
      <c r="AD77" s="50" t="inlineStr">
        <is>
          <t>Some</t>
        </is>
      </c>
      <c r="AE77" s="50" t="inlineStr">
        <is>
          <t>S82, S83</t>
        </is>
      </c>
      <c r="AF77" s="50" t="inlineStr">
        <is>
          <t>Australian/NZ elite netball 182.4 ± 7.2 cm / 73.4 ± 6.95 kg (S82). Tall by female-team-sport standards — comparable to volleyball but lower body fat. Vertical jump and 20m sprint discriminate elite from sub-elite.</t>
        </is>
      </c>
      <c r="AG77" s="50" t="inlineStr">
        <is>
          <t>F</t>
        </is>
      </c>
    </row>
    <row r="78" ht="63.75" customHeight="1" s="37">
      <c r="A78" s="50" t="inlineStr">
        <is>
          <t>SP42b</t>
        </is>
      </c>
      <c r="B78" s="50" t="inlineStr">
        <is>
          <t>Netball</t>
        </is>
      </c>
      <c r="C78" s="50" t="inlineStr">
        <is>
          <t>Goal shooter / goal keeper (female)</t>
        </is>
      </c>
      <c r="D78" s="50" t="inlineStr">
        <is>
          <t>Team court</t>
        </is>
      </c>
      <c r="E78" s="50" t="n">
        <v>188</v>
      </c>
      <c r="F78" s="50" t="n">
        <v>5</v>
      </c>
      <c r="G78" s="50" t="n">
        <v>78</v>
      </c>
      <c r="H78" s="50" t="n">
        <v>6</v>
      </c>
      <c r="I78" s="50" t="n">
        <v>22.1</v>
      </c>
      <c r="J78" s="50" t="n">
        <v>22</v>
      </c>
      <c r="K78" s="50" t="n"/>
      <c r="L78" s="50" t="n"/>
      <c r="M78" s="50" t="n">
        <v>7</v>
      </c>
      <c r="N78" s="50" t="n">
        <v>8</v>
      </c>
      <c r="O78" s="50" t="n">
        <v>6</v>
      </c>
      <c r="P78" s="50" t="n">
        <v>10</v>
      </c>
      <c r="Q78" s="50" t="n">
        <v>7</v>
      </c>
      <c r="R78" s="50" t="n">
        <v>7</v>
      </c>
      <c r="S78" s="50" t="n">
        <v>6</v>
      </c>
      <c r="T78" s="50" t="n">
        <v>9</v>
      </c>
      <c r="U78" s="50" t="n">
        <v>9</v>
      </c>
      <c r="V78" s="50" t="n">
        <v>7</v>
      </c>
      <c r="W78" s="50" t="inlineStr">
        <is>
          <t>None</t>
        </is>
      </c>
      <c r="X78" s="50" t="inlineStr">
        <is>
          <t>Indoor</t>
        </is>
      </c>
      <c r="Y78" s="50" t="inlineStr">
        <is>
          <t>No</t>
        </is>
      </c>
      <c r="Z78" s="50" t="inlineStr">
        <is>
          <t>Low</t>
        </is>
      </c>
      <c r="AA78" s="50" t="inlineStr">
        <is>
          <t>10–14</t>
        </is>
      </c>
      <c r="AB78" s="50" t="inlineStr">
        <is>
          <t>Medium</t>
        </is>
      </c>
      <c r="AC78" s="50" t="n">
        <v>4</v>
      </c>
      <c r="AD78" s="50" t="inlineStr">
        <is>
          <t>Some</t>
        </is>
      </c>
      <c r="AE78" s="50" t="inlineStr">
        <is>
          <t>S82</t>
        </is>
      </c>
      <c r="AF78" s="50" t="inlineStr">
        <is>
          <t>GS/GK tallest positions in netball — height-related advantages near the goal post for shooting accuracy and defensive intercepts (S82). Height is more constraint than skill ceiling at elite level.</t>
        </is>
      </c>
      <c r="AG78" s="50" t="inlineStr">
        <is>
          <t>F</t>
        </is>
      </c>
    </row>
    <row r="79" ht="63.75" customHeight="1" s="37">
      <c r="A79" s="50" t="inlineStr">
        <is>
          <t>SP43</t>
        </is>
      </c>
      <c r="B79" s="50" t="inlineStr">
        <is>
          <t>Lacrosse</t>
        </is>
      </c>
      <c r="C79" s="50" t="inlineStr">
        <is>
          <t>Midfielder (male, NCAA)</t>
        </is>
      </c>
      <c r="D79" s="50" t="inlineStr">
        <is>
          <t>Team field contact</t>
        </is>
      </c>
      <c r="E79" s="50" t="n">
        <v>184</v>
      </c>
      <c r="F79" s="50" t="n">
        <v>5</v>
      </c>
      <c r="G79" s="50" t="n">
        <v>88</v>
      </c>
      <c r="H79" s="50" t="n">
        <v>6</v>
      </c>
      <c r="I79" s="50" t="n">
        <v>26</v>
      </c>
      <c r="J79" s="50" t="n">
        <v>12</v>
      </c>
      <c r="K79" s="50" t="n"/>
      <c r="L79" s="50" t="n"/>
      <c r="M79" s="50" t="n">
        <v>9</v>
      </c>
      <c r="N79" s="50" t="n">
        <v>9</v>
      </c>
      <c r="O79" s="50" t="n">
        <v>7</v>
      </c>
      <c r="P79" s="50" t="n">
        <v>9</v>
      </c>
      <c r="Q79" s="50" t="n">
        <v>9</v>
      </c>
      <c r="R79" s="50" t="n">
        <v>9</v>
      </c>
      <c r="S79" s="50" t="n">
        <v>5</v>
      </c>
      <c r="T79" s="50" t="n">
        <v>9</v>
      </c>
      <c r="U79" s="50" t="n">
        <v>9</v>
      </c>
      <c r="V79" s="50" t="n">
        <v>10</v>
      </c>
      <c r="W79" s="50" t="inlineStr">
        <is>
          <t>Heavy</t>
        </is>
      </c>
      <c r="X79" s="50" t="inlineStr">
        <is>
          <t>Outdoor</t>
        </is>
      </c>
      <c r="Y79" s="50" t="inlineStr">
        <is>
          <t>No</t>
        </is>
      </c>
      <c r="Z79" s="50" t="inlineStr">
        <is>
          <t>Medium</t>
        </is>
      </c>
      <c r="AA79" s="50" t="inlineStr">
        <is>
          <t>10–16</t>
        </is>
      </c>
      <c r="AB79" s="50" t="inlineStr">
        <is>
          <t>High</t>
        </is>
      </c>
      <c r="AC79" s="50" t="n">
        <v>2</v>
      </c>
      <c r="AD79" s="50" t="inlineStr">
        <is>
          <t>No</t>
        </is>
      </c>
      <c r="AE79" s="50" t="inlineStr">
        <is>
          <t>S84</t>
        </is>
      </c>
      <c r="AF79" s="50" t="inlineStr">
        <is>
          <t>NCAA Division I men's lacrosse midfielders ~184 cm / 88 kg / BF ~12% (S84). Combines field-hockey-like running demands with stick-handling and physical contact closer to rugby — a hybrid profile.</t>
        </is>
      </c>
      <c r="AG79" s="50" t="inlineStr">
        <is>
          <t>M</t>
        </is>
      </c>
    </row>
    <row r="80" ht="63.75" customHeight="1" s="37">
      <c r="A80" s="50" t="inlineStr">
        <is>
          <t>SP43F</t>
        </is>
      </c>
      <c r="B80" s="50" t="inlineStr">
        <is>
          <t>Lacrosse</t>
        </is>
      </c>
      <c r="C80" s="50" t="inlineStr">
        <is>
          <t>Senior elite (female, NCAA)</t>
        </is>
      </c>
      <c r="D80" s="50" t="inlineStr">
        <is>
          <t>Team field</t>
        </is>
      </c>
      <c r="E80" s="50" t="n">
        <v>167</v>
      </c>
      <c r="F80" s="50" t="n">
        <v>5</v>
      </c>
      <c r="G80" s="50" t="n">
        <v>65</v>
      </c>
      <c r="H80" s="50" t="n">
        <v>6</v>
      </c>
      <c r="I80" s="50" t="n">
        <v>23.3</v>
      </c>
      <c r="J80" s="50" t="n">
        <v>22</v>
      </c>
      <c r="K80" s="50" t="n"/>
      <c r="L80" s="50" t="n"/>
      <c r="M80" s="50" t="n">
        <v>9</v>
      </c>
      <c r="N80" s="50" t="n">
        <v>9</v>
      </c>
      <c r="O80" s="50" t="n">
        <v>6</v>
      </c>
      <c r="P80" s="50" t="n">
        <v>8</v>
      </c>
      <c r="Q80" s="50" t="n">
        <v>8</v>
      </c>
      <c r="R80" s="50" t="n">
        <v>9</v>
      </c>
      <c r="S80" s="50" t="n">
        <v>6</v>
      </c>
      <c r="T80" s="50" t="n">
        <v>9</v>
      </c>
      <c r="U80" s="50" t="n">
        <v>9</v>
      </c>
      <c r="V80" s="50" t="n">
        <v>12</v>
      </c>
      <c r="W80" s="50" t="inlineStr">
        <is>
          <t>Light</t>
        </is>
      </c>
      <c r="X80" s="50" t="inlineStr">
        <is>
          <t>Outdoor</t>
        </is>
      </c>
      <c r="Y80" s="50" t="inlineStr">
        <is>
          <t>No</t>
        </is>
      </c>
      <c r="Z80" s="50" t="inlineStr">
        <is>
          <t>Medium</t>
        </is>
      </c>
      <c r="AA80" s="50" t="inlineStr">
        <is>
          <t>10–16</t>
        </is>
      </c>
      <c r="AB80" s="50" t="inlineStr">
        <is>
          <t>Medium</t>
        </is>
      </c>
      <c r="AC80" s="50" t="n">
        <v>2</v>
      </c>
      <c r="AD80" s="50" t="inlineStr">
        <is>
          <t>No</t>
        </is>
      </c>
      <c r="AE80" s="50" t="inlineStr">
        <is>
          <t>S84</t>
        </is>
      </c>
      <c r="AF80" s="50" t="inlineStr">
        <is>
          <t>NCAA Division I women's lacrosse 167 ± 5 cm / 65 ± 6 kg / BF ~22% (S84). Less contact permitted than the men's game; profile closer to field hockey than to the men's lacrosse midfielder.</t>
        </is>
      </c>
      <c r="AG80" s="50" t="inlineStr">
        <is>
          <t>F</t>
        </is>
      </c>
    </row>
    <row r="81" ht="64" customHeight="1" s="37">
      <c r="A81" s="70" t="inlineStr">
        <is>
          <t>SP44</t>
        </is>
      </c>
      <c r="B81" s="70" t="inlineStr">
        <is>
          <t>Javelin</t>
        </is>
      </c>
      <c r="C81" s="70" t="inlineStr">
        <is>
          <t>Senior elite (male)</t>
        </is>
      </c>
      <c r="D81" s="70" t="inlineStr">
        <is>
          <t>Power-throw individual</t>
        </is>
      </c>
      <c r="E81" s="70" t="n">
        <v>186</v>
      </c>
      <c r="F81" s="70" t="n">
        <v>5</v>
      </c>
      <c r="G81" s="70" t="n">
        <v>88</v>
      </c>
      <c r="H81" s="70" t="n">
        <v>7</v>
      </c>
      <c r="I81" s="70" t="n">
        <v>25.4</v>
      </c>
      <c r="J81" s="70" t="n">
        <v>11</v>
      </c>
      <c r="K81" s="70" t="n">
        <v>1.05</v>
      </c>
      <c r="L81" s="70" t="n"/>
      <c r="M81" s="70" t="n">
        <v>5</v>
      </c>
      <c r="N81" s="70" t="n">
        <v>8</v>
      </c>
      <c r="O81" s="70" t="n">
        <v>9</v>
      </c>
      <c r="P81" s="70" t="n">
        <v>10</v>
      </c>
      <c r="Q81" s="70" t="n">
        <v>8</v>
      </c>
      <c r="R81" s="70" t="n">
        <v>4</v>
      </c>
      <c r="S81" s="70" t="n">
        <v>8</v>
      </c>
      <c r="T81" s="70" t="n">
        <v>9</v>
      </c>
      <c r="U81" s="70" t="n">
        <v>9</v>
      </c>
      <c r="V81" s="70" t="n">
        <v>1</v>
      </c>
      <c r="W81" s="70" t="inlineStr">
        <is>
          <t>None</t>
        </is>
      </c>
      <c r="X81" s="70" t="inlineStr">
        <is>
          <t>Outdoor</t>
        </is>
      </c>
      <c r="Y81" s="70" t="inlineStr">
        <is>
          <t>No</t>
        </is>
      </c>
      <c r="Z81" s="70" t="inlineStr">
        <is>
          <t>Medium</t>
        </is>
      </c>
      <c r="AA81" s="70" t="inlineStr">
        <is>
          <t>10-16</t>
        </is>
      </c>
      <c r="AB81" s="70" t="inlineStr">
        <is>
          <t>Medium</t>
        </is>
      </c>
      <c r="AC81" s="70" t="n">
        <v>5</v>
      </c>
      <c r="AD81" s="70" t="inlineStr">
        <is>
          <t>Some</t>
        </is>
      </c>
      <c r="AE81" s="70" t="inlineStr">
        <is>
          <t>S87, S88</t>
        </is>
      </c>
      <c r="AF81" s="70" t="inlineStr">
        <is>
          <t>Highest ectomorphy of the throwing disciplines. Long levers, exceptional shoulder ROM, and explosive whole-body power. Tend to be taller than shot putters but lighter.</t>
        </is>
      </c>
      <c r="AG81" s="70" t="inlineStr">
        <is>
          <t>M</t>
        </is>
      </c>
    </row>
    <row r="82" ht="64" customHeight="1" s="37">
      <c r="A82" s="70" t="inlineStr">
        <is>
          <t>SP44F</t>
        </is>
      </c>
      <c r="B82" s="70" t="inlineStr">
        <is>
          <t>Javelin</t>
        </is>
      </c>
      <c r="C82" s="70" t="inlineStr">
        <is>
          <t>Senior elite (female)</t>
        </is>
      </c>
      <c r="D82" s="70" t="inlineStr">
        <is>
          <t>Power-throw individual</t>
        </is>
      </c>
      <c r="E82" s="70" t="n">
        <v>176</v>
      </c>
      <c r="F82" s="70" t="n">
        <v>5</v>
      </c>
      <c r="G82" s="70" t="n">
        <v>75</v>
      </c>
      <c r="H82" s="70" t="n">
        <v>7</v>
      </c>
      <c r="I82" s="70" t="n">
        <v>24.2</v>
      </c>
      <c r="J82" s="70" t="n">
        <v>18</v>
      </c>
      <c r="K82" s="70" t="n">
        <v>1.05</v>
      </c>
      <c r="L82" s="70" t="n"/>
      <c r="M82" s="70" t="n">
        <v>5</v>
      </c>
      <c r="N82" s="70" t="n">
        <v>8</v>
      </c>
      <c r="O82" s="70" t="n">
        <v>8</v>
      </c>
      <c r="P82" s="70" t="n">
        <v>10</v>
      </c>
      <c r="Q82" s="70" t="n">
        <v>8</v>
      </c>
      <c r="R82" s="70" t="n">
        <v>4</v>
      </c>
      <c r="S82" s="70" t="n">
        <v>8</v>
      </c>
      <c r="T82" s="70" t="n">
        <v>9</v>
      </c>
      <c r="U82" s="70" t="n">
        <v>9</v>
      </c>
      <c r="V82" s="70" t="n">
        <v>1</v>
      </c>
      <c r="W82" s="70" t="inlineStr">
        <is>
          <t>None</t>
        </is>
      </c>
      <c r="X82" s="70" t="inlineStr">
        <is>
          <t>Outdoor</t>
        </is>
      </c>
      <c r="Y82" s="70" t="inlineStr">
        <is>
          <t>No</t>
        </is>
      </c>
      <c r="Z82" s="70" t="inlineStr">
        <is>
          <t>Medium</t>
        </is>
      </c>
      <c r="AA82" s="70" t="inlineStr">
        <is>
          <t>10-16</t>
        </is>
      </c>
      <c r="AB82" s="70" t="inlineStr">
        <is>
          <t>Medium</t>
        </is>
      </c>
      <c r="AC82" s="70" t="n">
        <v>5</v>
      </c>
      <c r="AD82" s="70" t="inlineStr">
        <is>
          <t>Some</t>
        </is>
      </c>
      <c r="AE82" s="70" t="inlineStr">
        <is>
          <t>S87, S88</t>
        </is>
      </c>
      <c r="AF82" s="70" t="inlineStr">
        <is>
          <t>Female javelin throwers cluster ~172-180 cm / 70-80 kg. Same long-lever ectomorph profile as men's; throwing rotational power is the gatekeeper.</t>
        </is>
      </c>
      <c r="AG82" s="70" t="inlineStr">
        <is>
          <t>F</t>
        </is>
      </c>
    </row>
    <row r="83" ht="64" customHeight="1" s="37">
      <c r="A83" s="70" t="inlineStr">
        <is>
          <t>SP45</t>
        </is>
      </c>
      <c r="B83" s="70" t="inlineStr">
        <is>
          <t>Discus throw</t>
        </is>
      </c>
      <c r="C83" s="70" t="inlineStr">
        <is>
          <t>Senior elite (male)</t>
        </is>
      </c>
      <c r="D83" s="70" t="inlineStr">
        <is>
          <t>Power-throw individual</t>
        </is>
      </c>
      <c r="E83" s="70" t="n">
        <v>193</v>
      </c>
      <c r="F83" s="70" t="n">
        <v>5</v>
      </c>
      <c r="G83" s="70" t="n">
        <v>110</v>
      </c>
      <c r="H83" s="70" t="n">
        <v>10</v>
      </c>
      <c r="I83" s="70" t="n">
        <v>29.5</v>
      </c>
      <c r="J83" s="70" t="n">
        <v>14</v>
      </c>
      <c r="K83" s="70" t="n">
        <v>1.04</v>
      </c>
      <c r="L83" s="70" t="n"/>
      <c r="M83" s="70" t="n">
        <v>4</v>
      </c>
      <c r="N83" s="70" t="n">
        <v>7</v>
      </c>
      <c r="O83" s="70" t="n">
        <v>10</v>
      </c>
      <c r="P83" s="70" t="n">
        <v>10</v>
      </c>
      <c r="Q83" s="70" t="n">
        <v>6</v>
      </c>
      <c r="R83" s="70" t="n">
        <v>4</v>
      </c>
      <c r="S83" s="70" t="n">
        <v>7</v>
      </c>
      <c r="T83" s="70" t="n">
        <v>8</v>
      </c>
      <c r="U83" s="70" t="n">
        <v>7</v>
      </c>
      <c r="V83" s="70" t="n">
        <v>1</v>
      </c>
      <c r="W83" s="70" t="inlineStr">
        <is>
          <t>None</t>
        </is>
      </c>
      <c r="X83" s="70" t="inlineStr">
        <is>
          <t>Outdoor</t>
        </is>
      </c>
      <c r="Y83" s="70" t="inlineStr">
        <is>
          <t>No</t>
        </is>
      </c>
      <c r="Z83" s="70" t="inlineStr">
        <is>
          <t>Medium</t>
        </is>
      </c>
      <c r="AA83" s="70" t="inlineStr">
        <is>
          <t>10-16</t>
        </is>
      </c>
      <c r="AB83" s="70" t="inlineStr">
        <is>
          <t>Medium</t>
        </is>
      </c>
      <c r="AC83" s="70" t="n">
        <v>4</v>
      </c>
      <c r="AD83" s="70" t="inlineStr">
        <is>
          <t>Some</t>
        </is>
      </c>
      <c r="AE83" s="70" t="inlineStr">
        <is>
          <t>S87, S88, S89</t>
        </is>
      </c>
      <c r="AF83" s="70" t="inlineStr">
        <is>
          <t>Tallest of the throwing disciplines. Discus rewards long levers + rotational power. Higher mesomorphy and lean mass than javelin throwers.</t>
        </is>
      </c>
      <c r="AG83" s="70" t="inlineStr">
        <is>
          <t>M</t>
        </is>
      </c>
    </row>
    <row r="84" ht="64" customHeight="1" s="37">
      <c r="A84" s="70" t="inlineStr">
        <is>
          <t>SP46</t>
        </is>
      </c>
      <c r="B84" s="70" t="inlineStr">
        <is>
          <t>Shot put</t>
        </is>
      </c>
      <c r="C84" s="70" t="inlineStr">
        <is>
          <t>Senior elite (male)</t>
        </is>
      </c>
      <c r="D84" s="70" t="inlineStr">
        <is>
          <t>Power-throw individual</t>
        </is>
      </c>
      <c r="E84" s="70" t="n">
        <v>188</v>
      </c>
      <c r="F84" s="70" t="n">
        <v>6</v>
      </c>
      <c r="G84" s="70" t="n">
        <v>122</v>
      </c>
      <c r="H84" s="70" t="n">
        <v>14</v>
      </c>
      <c r="I84" s="70" t="n">
        <v>34.5</v>
      </c>
      <c r="J84" s="70" t="n">
        <v>18</v>
      </c>
      <c r="K84" s="70" t="n"/>
      <c r="L84" s="70" t="n"/>
      <c r="M84" s="70" t="n">
        <v>4</v>
      </c>
      <c r="N84" s="70" t="n">
        <v>7</v>
      </c>
      <c r="O84" s="70" t="n">
        <v>10</v>
      </c>
      <c r="P84" s="70" t="n">
        <v>10</v>
      </c>
      <c r="Q84" s="70" t="n">
        <v>5</v>
      </c>
      <c r="R84" s="70" t="n">
        <v>3</v>
      </c>
      <c r="S84" s="70" t="n">
        <v>6</v>
      </c>
      <c r="T84" s="70" t="n">
        <v>8</v>
      </c>
      <c r="U84" s="70" t="n">
        <v>7</v>
      </c>
      <c r="V84" s="70" t="n">
        <v>1</v>
      </c>
      <c r="W84" s="70" t="inlineStr">
        <is>
          <t>None</t>
        </is>
      </c>
      <c r="X84" s="70" t="inlineStr">
        <is>
          <t>Outdoor</t>
        </is>
      </c>
      <c r="Y84" s="70" t="inlineStr">
        <is>
          <t>No</t>
        </is>
      </c>
      <c r="Z84" s="70" t="inlineStr">
        <is>
          <t>Medium</t>
        </is>
      </c>
      <c r="AA84" s="70" t="inlineStr">
        <is>
          <t>10-16</t>
        </is>
      </c>
      <c r="AB84" s="70" t="inlineStr">
        <is>
          <t>Medium</t>
        </is>
      </c>
      <c r="AC84" s="70" t="n">
        <v>4</v>
      </c>
      <c r="AD84" s="70" t="inlineStr">
        <is>
          <t>Some</t>
        </is>
      </c>
      <c r="AE84" s="70" t="inlineStr">
        <is>
          <t>S87, S88</t>
        </is>
      </c>
      <c r="AF84" s="70" t="inlineStr">
        <is>
          <t>Heaviest of the throwers (excluding hammer). Highest body fat and skinfold thicknesses across throwing events. Endomorphic-mesomorph dominant.</t>
        </is>
      </c>
      <c r="AG84" s="70" t="inlineStr">
        <is>
          <t>M</t>
        </is>
      </c>
    </row>
    <row r="85" ht="64" customHeight="1" s="37">
      <c r="A85" s="70" t="inlineStr">
        <is>
          <t>SP47</t>
        </is>
      </c>
      <c r="B85" s="70" t="inlineStr">
        <is>
          <t>High jump</t>
        </is>
      </c>
      <c r="C85" s="70" t="inlineStr">
        <is>
          <t>Senior elite (male)</t>
        </is>
      </c>
      <c r="D85" s="70" t="inlineStr">
        <is>
          <t>Power-jump individual</t>
        </is>
      </c>
      <c r="E85" s="70" t="n">
        <v>192</v>
      </c>
      <c r="F85" s="70" t="n">
        <v>4</v>
      </c>
      <c r="G85" s="70" t="n">
        <v>76</v>
      </c>
      <c r="H85" s="70" t="n">
        <v>5</v>
      </c>
      <c r="I85" s="70" t="n">
        <v>20.6</v>
      </c>
      <c r="J85" s="70" t="n">
        <v>7</v>
      </c>
      <c r="K85" s="70" t="n"/>
      <c r="L85" s="70" t="n"/>
      <c r="M85" s="70" t="n">
        <v>4</v>
      </c>
      <c r="N85" s="70" t="n">
        <v>7</v>
      </c>
      <c r="O85" s="70" t="n">
        <v>7</v>
      </c>
      <c r="P85" s="70" t="n">
        <v>10</v>
      </c>
      <c r="Q85" s="70" t="n">
        <v>8</v>
      </c>
      <c r="R85" s="70" t="n">
        <v>3</v>
      </c>
      <c r="S85" s="70" t="n">
        <v>9</v>
      </c>
      <c r="T85" s="70" t="n">
        <v>9</v>
      </c>
      <c r="U85" s="70" t="n">
        <v>8</v>
      </c>
      <c r="V85" s="70" t="n">
        <v>1</v>
      </c>
      <c r="W85" s="70" t="inlineStr">
        <is>
          <t>None</t>
        </is>
      </c>
      <c r="X85" s="70" t="inlineStr">
        <is>
          <t>Outdoor</t>
        </is>
      </c>
      <c r="Y85" s="70" t="inlineStr">
        <is>
          <t>No</t>
        </is>
      </c>
      <c r="Z85" s="70" t="inlineStr">
        <is>
          <t>Low</t>
        </is>
      </c>
      <c r="AA85" s="70" t="inlineStr">
        <is>
          <t>10-16</t>
        </is>
      </c>
      <c r="AB85" s="70" t="inlineStr">
        <is>
          <t>Medium</t>
        </is>
      </c>
      <c r="AC85" s="70" t="n">
        <v>4</v>
      </c>
      <c r="AD85" s="70" t="inlineStr">
        <is>
          <t>Some</t>
        </is>
      </c>
      <c r="AE85" s="70" t="inlineStr">
        <is>
          <t>S90, S95</t>
        </is>
      </c>
      <c r="AF85" s="70" t="inlineStr">
        <is>
          <t>Among the tallest non-basketball athletes — 188-198 cm typical at elite level. Highest height-to-weight ratio in track &amp; field. Long levers, low body fat, exceptional single-leg power.</t>
        </is>
      </c>
      <c r="AG85" s="70" t="inlineStr">
        <is>
          <t>M</t>
        </is>
      </c>
    </row>
    <row r="86" ht="64" customHeight="1" s="37">
      <c r="A86" s="70" t="inlineStr">
        <is>
          <t>SP47F</t>
        </is>
      </c>
      <c r="B86" s="70" t="inlineStr">
        <is>
          <t>High jump</t>
        </is>
      </c>
      <c r="C86" s="70" t="inlineStr">
        <is>
          <t>Senior elite (female)</t>
        </is>
      </c>
      <c r="D86" s="70" t="inlineStr">
        <is>
          <t>Power-jump individual</t>
        </is>
      </c>
      <c r="E86" s="70" t="n">
        <v>180</v>
      </c>
      <c r="F86" s="70" t="n">
        <v>5</v>
      </c>
      <c r="G86" s="70" t="n">
        <v>60</v>
      </c>
      <c r="H86" s="70" t="n">
        <v>5</v>
      </c>
      <c r="I86" s="70" t="n">
        <v>18.5</v>
      </c>
      <c r="J86" s="70" t="n">
        <v>14</v>
      </c>
      <c r="K86" s="70" t="n"/>
      <c r="L86" s="70" t="n"/>
      <c r="M86" s="70" t="n">
        <v>4</v>
      </c>
      <c r="N86" s="70" t="n">
        <v>7</v>
      </c>
      <c r="O86" s="70" t="n">
        <v>7</v>
      </c>
      <c r="P86" s="70" t="n">
        <v>10</v>
      </c>
      <c r="Q86" s="70" t="n">
        <v>8</v>
      </c>
      <c r="R86" s="70" t="n">
        <v>3</v>
      </c>
      <c r="S86" s="70" t="n">
        <v>9</v>
      </c>
      <c r="T86" s="70" t="n">
        <v>9</v>
      </c>
      <c r="U86" s="70" t="n">
        <v>8</v>
      </c>
      <c r="V86" s="70" t="n">
        <v>1</v>
      </c>
      <c r="W86" s="70" t="inlineStr">
        <is>
          <t>None</t>
        </is>
      </c>
      <c r="X86" s="70" t="inlineStr">
        <is>
          <t>Outdoor</t>
        </is>
      </c>
      <c r="Y86" s="70" t="inlineStr">
        <is>
          <t>No</t>
        </is>
      </c>
      <c r="Z86" s="70" t="inlineStr">
        <is>
          <t>Low</t>
        </is>
      </c>
      <c r="AA86" s="70" t="inlineStr">
        <is>
          <t>10-16</t>
        </is>
      </c>
      <c r="AB86" s="70" t="inlineStr">
        <is>
          <t>Medium</t>
        </is>
      </c>
      <c r="AC86" s="70" t="n">
        <v>4</v>
      </c>
      <c r="AD86" s="70" t="inlineStr">
        <is>
          <t>Some</t>
        </is>
      </c>
      <c r="AE86" s="70" t="inlineStr">
        <is>
          <t>S91</t>
        </is>
      </c>
      <c r="AF86" s="70" t="inlineStr">
        <is>
          <t>London 2012 Olympic high jump finalists (n=12) mean BMI 18.3 ± 0.3. Female high jumpers maintain remarkably low body mass relative to most athletic populations.</t>
        </is>
      </c>
      <c r="AG86" s="70" t="inlineStr">
        <is>
          <t>F</t>
        </is>
      </c>
    </row>
    <row r="87" ht="64" customHeight="1" s="37">
      <c r="A87" s="70" t="inlineStr">
        <is>
          <t>SP48</t>
        </is>
      </c>
      <c r="B87" s="70" t="inlineStr">
        <is>
          <t>Long jump</t>
        </is>
      </c>
      <c r="C87" s="70" t="inlineStr">
        <is>
          <t>Senior elite (male)</t>
        </is>
      </c>
      <c r="D87" s="70" t="inlineStr">
        <is>
          <t>Power-jump individual</t>
        </is>
      </c>
      <c r="E87" s="70" t="n">
        <v>184</v>
      </c>
      <c r="F87" s="70" t="n">
        <v>5</v>
      </c>
      <c r="G87" s="70" t="n">
        <v>79</v>
      </c>
      <c r="H87" s="70" t="n">
        <v>7</v>
      </c>
      <c r="I87" s="70" t="n">
        <v>23.3</v>
      </c>
      <c r="J87" s="70" t="n">
        <v>8</v>
      </c>
      <c r="K87" s="70" t="n">
        <v>1.04</v>
      </c>
      <c r="L87" s="70" t="n"/>
      <c r="M87" s="70" t="n">
        <v>5</v>
      </c>
      <c r="N87" s="70" t="n">
        <v>9</v>
      </c>
      <c r="O87" s="70" t="n">
        <v>8</v>
      </c>
      <c r="P87" s="70" t="n">
        <v>10</v>
      </c>
      <c r="Q87" s="70" t="n">
        <v>10</v>
      </c>
      <c r="R87" s="70" t="n">
        <v>3</v>
      </c>
      <c r="S87" s="70" t="n">
        <v>7</v>
      </c>
      <c r="T87" s="70" t="n">
        <v>9</v>
      </c>
      <c r="U87" s="70" t="n">
        <v>9</v>
      </c>
      <c r="V87" s="70" t="n">
        <v>1</v>
      </c>
      <c r="W87" s="70" t="inlineStr">
        <is>
          <t>None</t>
        </is>
      </c>
      <c r="X87" s="70" t="inlineStr">
        <is>
          <t>Outdoor</t>
        </is>
      </c>
      <c r="Y87" s="70" t="inlineStr">
        <is>
          <t>No</t>
        </is>
      </c>
      <c r="Z87" s="70" t="inlineStr">
        <is>
          <t>Low</t>
        </is>
      </c>
      <c r="AA87" s="70" t="inlineStr">
        <is>
          <t>10-16</t>
        </is>
      </c>
      <c r="AB87" s="70" t="inlineStr">
        <is>
          <t>Medium</t>
        </is>
      </c>
      <c r="AC87" s="70" t="n">
        <v>4</v>
      </c>
      <c r="AD87" s="70" t="inlineStr">
        <is>
          <t>Some</t>
        </is>
      </c>
      <c r="AE87" s="70" t="inlineStr">
        <is>
          <t>S92, S93</t>
        </is>
      </c>
      <c r="AF87" s="70" t="inlineStr">
        <is>
          <t>21 top male long jumpers 184.19 ± 4.68 cm / 78.86 ± 6.81 kg. Sprint-power hybrid — second only to 100m for pure speed demand. Chest circumference predicts distance.</t>
        </is>
      </c>
      <c r="AG87" s="70" t="inlineStr">
        <is>
          <t>M</t>
        </is>
      </c>
    </row>
    <row r="88" ht="64" customHeight="1" s="37">
      <c r="A88" s="70" t="inlineStr">
        <is>
          <t>SP48F</t>
        </is>
      </c>
      <c r="B88" s="70" t="inlineStr">
        <is>
          <t>Long jump</t>
        </is>
      </c>
      <c r="C88" s="70" t="inlineStr">
        <is>
          <t>Senior elite (female)</t>
        </is>
      </c>
      <c r="D88" s="70" t="inlineStr">
        <is>
          <t>Power-jump individual</t>
        </is>
      </c>
      <c r="E88" s="70" t="n">
        <v>172</v>
      </c>
      <c r="F88" s="70" t="n">
        <v>5</v>
      </c>
      <c r="G88" s="70" t="n">
        <v>62</v>
      </c>
      <c r="H88" s="70" t="n">
        <v>6</v>
      </c>
      <c r="I88" s="70" t="n">
        <v>21</v>
      </c>
      <c r="J88" s="70" t="n">
        <v>16</v>
      </c>
      <c r="K88" s="70" t="n"/>
      <c r="L88" s="70" t="n"/>
      <c r="M88" s="70" t="n">
        <v>5</v>
      </c>
      <c r="N88" s="70" t="n">
        <v>9</v>
      </c>
      <c r="O88" s="70" t="n">
        <v>7</v>
      </c>
      <c r="P88" s="70" t="n">
        <v>10</v>
      </c>
      <c r="Q88" s="70" t="n">
        <v>10</v>
      </c>
      <c r="R88" s="70" t="n">
        <v>3</v>
      </c>
      <c r="S88" s="70" t="n">
        <v>7</v>
      </c>
      <c r="T88" s="70" t="n">
        <v>9</v>
      </c>
      <c r="U88" s="70" t="n">
        <v>9</v>
      </c>
      <c r="V88" s="70" t="n">
        <v>1</v>
      </c>
      <c r="W88" s="70" t="inlineStr">
        <is>
          <t>None</t>
        </is>
      </c>
      <c r="X88" s="70" t="inlineStr">
        <is>
          <t>Outdoor</t>
        </is>
      </c>
      <c r="Y88" s="70" t="inlineStr">
        <is>
          <t>No</t>
        </is>
      </c>
      <c r="Z88" s="70" t="inlineStr">
        <is>
          <t>Low</t>
        </is>
      </c>
      <c r="AA88" s="70" t="inlineStr">
        <is>
          <t>10-16</t>
        </is>
      </c>
      <c r="AB88" s="70" t="inlineStr">
        <is>
          <t>Medium</t>
        </is>
      </c>
      <c r="AC88" s="70" t="n">
        <v>4</v>
      </c>
      <c r="AD88" s="70" t="inlineStr">
        <is>
          <t>Some</t>
        </is>
      </c>
      <c r="AE88" s="70" t="inlineStr">
        <is>
          <t>S92</t>
        </is>
      </c>
      <c r="AF88" s="70" t="inlineStr">
        <is>
          <t>22 female national-elite long jumpers in Reichmuth 2025. Sex and chest circumference explain 52% of jump distance variance.</t>
        </is>
      </c>
      <c r="AG88" s="70" t="inlineStr">
        <is>
          <t>F</t>
        </is>
      </c>
    </row>
    <row r="89" ht="64" customHeight="1" s="37">
      <c r="A89" s="70" t="inlineStr">
        <is>
          <t>SP49</t>
        </is>
      </c>
      <c r="B89" s="70" t="inlineStr">
        <is>
          <t>Triple jump</t>
        </is>
      </c>
      <c r="C89" s="70" t="inlineStr">
        <is>
          <t>Senior elite (male)</t>
        </is>
      </c>
      <c r="D89" s="70" t="inlineStr">
        <is>
          <t>Power-jump individual</t>
        </is>
      </c>
      <c r="E89" s="70" t="n">
        <v>188</v>
      </c>
      <c r="F89" s="70" t="n">
        <v>5</v>
      </c>
      <c r="G89" s="70" t="n">
        <v>80</v>
      </c>
      <c r="H89" s="70" t="n">
        <v>6</v>
      </c>
      <c r="I89" s="70" t="n">
        <v>22.6</v>
      </c>
      <c r="J89" s="70" t="n">
        <v>8</v>
      </c>
      <c r="K89" s="70" t="n"/>
      <c r="L89" s="70" t="n"/>
      <c r="M89" s="70" t="n">
        <v>5</v>
      </c>
      <c r="N89" s="70" t="n">
        <v>9</v>
      </c>
      <c r="O89" s="70" t="n">
        <v>9</v>
      </c>
      <c r="P89" s="70" t="n">
        <v>10</v>
      </c>
      <c r="Q89" s="70" t="n">
        <v>9</v>
      </c>
      <c r="R89" s="70" t="n">
        <v>3</v>
      </c>
      <c r="S89" s="70" t="n">
        <v>7</v>
      </c>
      <c r="T89" s="70" t="n">
        <v>9</v>
      </c>
      <c r="U89" s="70" t="n">
        <v>8</v>
      </c>
      <c r="V89" s="70" t="n">
        <v>1</v>
      </c>
      <c r="W89" s="70" t="inlineStr">
        <is>
          <t>None</t>
        </is>
      </c>
      <c r="X89" s="70" t="inlineStr">
        <is>
          <t>Outdoor</t>
        </is>
      </c>
      <c r="Y89" s="70" t="inlineStr">
        <is>
          <t>No</t>
        </is>
      </c>
      <c r="Z89" s="70" t="inlineStr">
        <is>
          <t>Low</t>
        </is>
      </c>
      <c r="AA89" s="70" t="inlineStr">
        <is>
          <t>10-16</t>
        </is>
      </c>
      <c r="AB89" s="70" t="inlineStr">
        <is>
          <t>High</t>
        </is>
      </c>
      <c r="AC89" s="70" t="n">
        <v>3</v>
      </c>
      <c r="AD89" s="70" t="inlineStr">
        <is>
          <t>No</t>
        </is>
      </c>
      <c r="AE89" s="70" t="inlineStr">
        <is>
          <t>S95</t>
        </is>
      </c>
      <c r="AF89" s="70" t="inlineStr">
        <is>
          <t>More mesomorphic than high jumpers, taller than sprinters. Impact forces in triple jump are among the highest in athletics — injury risk elevated. Eccentric leg strength critical.</t>
        </is>
      </c>
      <c r="AG89" s="70" t="inlineStr">
        <is>
          <t>M</t>
        </is>
      </c>
    </row>
    <row r="90" ht="64" customHeight="1" s="37">
      <c r="A90" s="70" t="inlineStr">
        <is>
          <t>SP50</t>
        </is>
      </c>
      <c r="B90" s="70" t="inlineStr">
        <is>
          <t>Pole vault</t>
        </is>
      </c>
      <c r="C90" s="70" t="inlineStr">
        <is>
          <t>Senior elite (male)</t>
        </is>
      </c>
      <c r="D90" s="70" t="inlineStr">
        <is>
          <t>Power-skill individual</t>
        </is>
      </c>
      <c r="E90" s="70" t="n">
        <v>186</v>
      </c>
      <c r="F90" s="70" t="n">
        <v>4</v>
      </c>
      <c r="G90" s="70" t="n">
        <v>79</v>
      </c>
      <c r="H90" s="70" t="n">
        <v>4</v>
      </c>
      <c r="I90" s="70" t="n">
        <v>22.8</v>
      </c>
      <c r="J90" s="70" t="n">
        <v>8</v>
      </c>
      <c r="K90" s="70" t="n"/>
      <c r="L90" s="70" t="n"/>
      <c r="M90" s="70" t="n">
        <v>5</v>
      </c>
      <c r="N90" s="70" t="n">
        <v>8</v>
      </c>
      <c r="O90" s="70" t="n">
        <v>9</v>
      </c>
      <c r="P90" s="70" t="n">
        <v>10</v>
      </c>
      <c r="Q90" s="70" t="n">
        <v>9</v>
      </c>
      <c r="R90" s="70" t="n">
        <v>3</v>
      </c>
      <c r="S90" s="70" t="n">
        <v>8</v>
      </c>
      <c r="T90" s="70" t="n">
        <v>10</v>
      </c>
      <c r="U90" s="70" t="n">
        <v>9</v>
      </c>
      <c r="V90" s="70" t="n">
        <v>1</v>
      </c>
      <c r="W90" s="70" t="inlineStr">
        <is>
          <t>None</t>
        </is>
      </c>
      <c r="X90" s="70" t="inlineStr">
        <is>
          <t>Outdoor</t>
        </is>
      </c>
      <c r="Y90" s="70" t="inlineStr">
        <is>
          <t>No</t>
        </is>
      </c>
      <c r="Z90" s="70" t="inlineStr">
        <is>
          <t>High</t>
        </is>
      </c>
      <c r="AA90" s="70" t="inlineStr">
        <is>
          <t>10-16</t>
        </is>
      </c>
      <c r="AB90" s="70" t="inlineStr">
        <is>
          <t>High</t>
        </is>
      </c>
      <c r="AC90" s="70" t="n">
        <v>3</v>
      </c>
      <c r="AD90" s="70" t="inlineStr">
        <is>
          <t>No</t>
        </is>
      </c>
      <c r="AE90" s="70" t="inlineStr">
        <is>
          <t>S94</t>
        </is>
      </c>
      <c r="AF90" s="70" t="inlineStr">
        <is>
          <t>Top-20 male vaulters 186.3 cm / 78.9 kg. Sprinting speed × upper-body strength × gymnastic body control — among the most complex athletic skill profiles. Wide variation tolerated within elite (68-86 kg range).</t>
        </is>
      </c>
      <c r="AG90" s="70" t="inlineStr">
        <is>
          <t>M</t>
        </is>
      </c>
    </row>
    <row r="91" ht="64" customHeight="1" s="37">
      <c r="A91" s="70" t="inlineStr">
        <is>
          <t>SP50F</t>
        </is>
      </c>
      <c r="B91" s="70" t="inlineStr">
        <is>
          <t>Pole vault</t>
        </is>
      </c>
      <c r="C91" s="70" t="inlineStr">
        <is>
          <t>Senior elite (female)</t>
        </is>
      </c>
      <c r="D91" s="70" t="inlineStr">
        <is>
          <t>Power-skill individual</t>
        </is>
      </c>
      <c r="E91" s="70" t="n">
        <v>171</v>
      </c>
      <c r="F91" s="70" t="n">
        <v>4</v>
      </c>
      <c r="G91" s="70" t="n">
        <v>59</v>
      </c>
      <c r="H91" s="70" t="n">
        <v>4</v>
      </c>
      <c r="I91" s="70" t="n">
        <v>20.2</v>
      </c>
      <c r="J91" s="70" t="n">
        <v>14</v>
      </c>
      <c r="K91" s="70" t="n"/>
      <c r="L91" s="70" t="n"/>
      <c r="M91" s="70" t="n">
        <v>5</v>
      </c>
      <c r="N91" s="70" t="n">
        <v>8</v>
      </c>
      <c r="O91" s="70" t="n">
        <v>8</v>
      </c>
      <c r="P91" s="70" t="n">
        <v>10</v>
      </c>
      <c r="Q91" s="70" t="n">
        <v>9</v>
      </c>
      <c r="R91" s="70" t="n">
        <v>3</v>
      </c>
      <c r="S91" s="70" t="n">
        <v>8</v>
      </c>
      <c r="T91" s="70" t="n">
        <v>10</v>
      </c>
      <c r="U91" s="70" t="n">
        <v>9</v>
      </c>
      <c r="V91" s="70" t="n">
        <v>1</v>
      </c>
      <c r="W91" s="70" t="inlineStr">
        <is>
          <t>None</t>
        </is>
      </c>
      <c r="X91" s="70" t="inlineStr">
        <is>
          <t>Outdoor</t>
        </is>
      </c>
      <c r="Y91" s="70" t="inlineStr">
        <is>
          <t>No</t>
        </is>
      </c>
      <c r="Z91" s="70" t="inlineStr">
        <is>
          <t>High</t>
        </is>
      </c>
      <c r="AA91" s="70" t="inlineStr">
        <is>
          <t>10-16</t>
        </is>
      </c>
      <c r="AB91" s="70" t="inlineStr">
        <is>
          <t>High</t>
        </is>
      </c>
      <c r="AC91" s="70" t="n">
        <v>3</v>
      </c>
      <c r="AD91" s="70" t="inlineStr">
        <is>
          <t>No</t>
        </is>
      </c>
      <c r="AE91" s="70" t="inlineStr">
        <is>
          <t>S94</t>
        </is>
      </c>
      <c r="AF91" s="70" t="inlineStr">
        <is>
          <t>Top-20 female vaulters 171 cm / 59.25 kg. Like the men, broad height range tolerated (160-180 cm) but tight weight band at the top of the discipline.</t>
        </is>
      </c>
      <c r="AG91" s="70" t="inlineStr">
        <is>
          <t>F</t>
        </is>
      </c>
    </row>
    <row r="92" ht="64" customHeight="1" s="37">
      <c r="A92" s="70" t="inlineStr">
        <is>
          <t>SP51</t>
        </is>
      </c>
      <c r="B92" s="70" t="inlineStr">
        <is>
          <t>Triathlon</t>
        </is>
      </c>
      <c r="C92" s="70" t="inlineStr">
        <is>
          <t>Olympic distance (male)</t>
        </is>
      </c>
      <c r="D92" s="70" t="inlineStr">
        <is>
          <t>Endurance multi</t>
        </is>
      </c>
      <c r="E92" s="70" t="n">
        <v>178</v>
      </c>
      <c r="F92" s="70" t="n">
        <v>5</v>
      </c>
      <c r="G92" s="70" t="n">
        <v>70</v>
      </c>
      <c r="H92" s="70" t="n">
        <v>5</v>
      </c>
      <c r="I92" s="70" t="n">
        <v>22.1</v>
      </c>
      <c r="J92" s="70" t="n">
        <v>9</v>
      </c>
      <c r="K92" s="70" t="n"/>
      <c r="L92" s="70" t="n"/>
      <c r="M92" s="70" t="n">
        <v>10</v>
      </c>
      <c r="N92" s="70" t="n">
        <v>7</v>
      </c>
      <c r="O92" s="70" t="n">
        <v>5</v>
      </c>
      <c r="P92" s="70" t="n">
        <v>6</v>
      </c>
      <c r="Q92" s="70" t="n">
        <v>6</v>
      </c>
      <c r="R92" s="70" t="n">
        <v>10</v>
      </c>
      <c r="S92" s="70" t="n">
        <v>5</v>
      </c>
      <c r="T92" s="70" t="n">
        <v>7</v>
      </c>
      <c r="U92" s="70" t="n">
        <v>6</v>
      </c>
      <c r="V92" s="70" t="n">
        <v>1</v>
      </c>
      <c r="W92" s="70" t="inlineStr">
        <is>
          <t>None</t>
        </is>
      </c>
      <c r="X92" s="70" t="inlineStr">
        <is>
          <t>Outdoor</t>
        </is>
      </c>
      <c r="Y92" s="70" t="inlineStr">
        <is>
          <t>Yes</t>
        </is>
      </c>
      <c r="Z92" s="70" t="inlineStr">
        <is>
          <t>High</t>
        </is>
      </c>
      <c r="AA92" s="70" t="inlineStr">
        <is>
          <t>Any</t>
        </is>
      </c>
      <c r="AB92" s="70" t="inlineStr">
        <is>
          <t>Medium</t>
        </is>
      </c>
      <c r="AC92" s="70" t="n">
        <v>7</v>
      </c>
      <c r="AD92" s="70" t="inlineStr">
        <is>
          <t>Yes</t>
        </is>
      </c>
      <c r="AE92" s="70" t="inlineStr">
        <is>
          <t>S96, S97, S98</t>
        </is>
      </c>
      <c r="AF92" s="70" t="inlineStr">
        <is>
          <t>London 2012 Olympic triathletes — a little smaller than average Olympian, much lower BMI. Profile sits between distance running and road cycling — lean but with more upper-body mass than pure runners.</t>
        </is>
      </c>
      <c r="AG92" s="70" t="inlineStr">
        <is>
          <t>M</t>
        </is>
      </c>
    </row>
    <row r="93" ht="64" customHeight="1" s="37">
      <c r="A93" s="70" t="inlineStr">
        <is>
          <t>SP51F</t>
        </is>
      </c>
      <c r="B93" s="70" t="inlineStr">
        <is>
          <t>Triathlon</t>
        </is>
      </c>
      <c r="C93" s="70" t="inlineStr">
        <is>
          <t>Olympic distance (female)</t>
        </is>
      </c>
      <c r="D93" s="70" t="inlineStr">
        <is>
          <t>Endurance multi</t>
        </is>
      </c>
      <c r="E93" s="70" t="n">
        <v>167</v>
      </c>
      <c r="F93" s="70" t="n">
        <v>5</v>
      </c>
      <c r="G93" s="70" t="n">
        <v>56</v>
      </c>
      <c r="H93" s="70" t="n">
        <v>5</v>
      </c>
      <c r="I93" s="70" t="n">
        <v>20.1</v>
      </c>
      <c r="J93" s="70" t="n">
        <v>16</v>
      </c>
      <c r="K93" s="70" t="n"/>
      <c r="L93" s="70" t="n"/>
      <c r="M93" s="70" t="n">
        <v>10</v>
      </c>
      <c r="N93" s="70" t="n">
        <v>7</v>
      </c>
      <c r="O93" s="70" t="n">
        <v>5</v>
      </c>
      <c r="P93" s="70" t="n">
        <v>6</v>
      </c>
      <c r="Q93" s="70" t="n">
        <v>6</v>
      </c>
      <c r="R93" s="70" t="n">
        <v>10</v>
      </c>
      <c r="S93" s="70" t="n">
        <v>5</v>
      </c>
      <c r="T93" s="70" t="n">
        <v>7</v>
      </c>
      <c r="U93" s="70" t="n">
        <v>6</v>
      </c>
      <c r="V93" s="70" t="n">
        <v>1</v>
      </c>
      <c r="W93" s="70" t="inlineStr">
        <is>
          <t>None</t>
        </is>
      </c>
      <c r="X93" s="70" t="inlineStr">
        <is>
          <t>Outdoor</t>
        </is>
      </c>
      <c r="Y93" s="70" t="inlineStr">
        <is>
          <t>Yes</t>
        </is>
      </c>
      <c r="Z93" s="70" t="inlineStr">
        <is>
          <t>High</t>
        </is>
      </c>
      <c r="AA93" s="70" t="inlineStr">
        <is>
          <t>Any</t>
        </is>
      </c>
      <c r="AB93" s="70" t="inlineStr">
        <is>
          <t>Medium</t>
        </is>
      </c>
      <c r="AC93" s="70" t="n">
        <v>7</v>
      </c>
      <c r="AD93" s="70" t="inlineStr">
        <is>
          <t>Yes</t>
        </is>
      </c>
      <c r="AE93" s="70" t="inlineStr">
        <is>
          <t>S96, S98</t>
        </is>
      </c>
      <c r="AF93" s="70" t="inlineStr">
        <is>
          <t>Female elite triathletes 167 cm / 56 kg at BMI 20.1. Same balanced swim-bike-run profile as men's, scaled.</t>
        </is>
      </c>
      <c r="AG93" s="70" t="inlineStr">
        <is>
          <t>F</t>
        </is>
      </c>
    </row>
    <row r="94" ht="64" customHeight="1" s="37">
      <c r="A94" s="70" t="inlineStr">
        <is>
          <t>SP52</t>
        </is>
      </c>
      <c r="B94" s="70" t="inlineStr">
        <is>
          <t>Pickleball</t>
        </is>
      </c>
      <c r="C94" s="70" t="inlineStr">
        <is>
          <t>Senior recreational/competitive</t>
        </is>
      </c>
      <c r="D94" s="70" t="inlineStr">
        <is>
          <t>Individual racquet</t>
        </is>
      </c>
      <c r="E94" s="70" t="n">
        <v>175</v>
      </c>
      <c r="F94" s="70" t="n">
        <v>9</v>
      </c>
      <c r="G94" s="70" t="n">
        <v>76</v>
      </c>
      <c r="H94" s="70" t="n">
        <v>12</v>
      </c>
      <c r="I94" s="70" t="n">
        <v>24.8</v>
      </c>
      <c r="J94" s="70" t="n">
        <v>18</v>
      </c>
      <c r="K94" s="70" t="n"/>
      <c r="L94" s="70" t="n"/>
      <c r="M94" s="70" t="n">
        <v>5</v>
      </c>
      <c r="N94" s="70" t="n">
        <v>6</v>
      </c>
      <c r="O94" s="70" t="n">
        <v>4</v>
      </c>
      <c r="P94" s="70" t="n">
        <v>6</v>
      </c>
      <c r="Q94" s="70" t="n">
        <v>5</v>
      </c>
      <c r="R94" s="70" t="n">
        <v>5</v>
      </c>
      <c r="S94" s="70" t="n">
        <v>6</v>
      </c>
      <c r="T94" s="70" t="n">
        <v>9</v>
      </c>
      <c r="U94" s="70" t="n">
        <v>9</v>
      </c>
      <c r="V94" s="70" t="n">
        <v>1</v>
      </c>
      <c r="W94" s="70" t="inlineStr">
        <is>
          <t>None</t>
        </is>
      </c>
      <c r="X94" s="70" t="inlineStr">
        <is>
          <t>Outdoor / indoor</t>
        </is>
      </c>
      <c r="Y94" s="70" t="inlineStr">
        <is>
          <t>No</t>
        </is>
      </c>
      <c r="Z94" s="70" t="inlineStr">
        <is>
          <t>Low</t>
        </is>
      </c>
      <c r="AA94" s="70" t="inlineStr">
        <is>
          <t>Any</t>
        </is>
      </c>
      <c r="AB94" s="70" t="inlineStr">
        <is>
          <t>Low</t>
        </is>
      </c>
      <c r="AC94" s="70" t="n">
        <v>6</v>
      </c>
      <c r="AD94" s="70" t="inlineStr">
        <is>
          <t>Growing</t>
        </is>
      </c>
      <c r="AE94" s="70" t="inlineStr">
        <is>
          <t>S101</t>
        </is>
      </c>
      <c r="AF94" s="70" t="inlineStr">
        <is>
          <t>Lower physical demand than tennis or squash — coordination, reaction time, and tactical sense dominate. Wide age range tolerated; fastest-growing sport in the US. Body type flatness is the entry point.</t>
        </is>
      </c>
      <c r="AG94" s="70" t="inlineStr">
        <is>
          <t>M</t>
        </is>
      </c>
    </row>
    <row r="95" ht="64" customHeight="1" s="37">
      <c r="A95" s="70" t="inlineStr">
        <is>
          <t>SP52F</t>
        </is>
      </c>
      <c r="B95" s="70" t="inlineStr">
        <is>
          <t>Pickleball</t>
        </is>
      </c>
      <c r="C95" s="70" t="inlineStr">
        <is>
          <t>Senior recreational/competitive (female)</t>
        </is>
      </c>
      <c r="D95" s="70" t="inlineStr">
        <is>
          <t>Individual racquet</t>
        </is>
      </c>
      <c r="E95" s="70" t="n">
        <v>165</v>
      </c>
      <c r="F95" s="70" t="n">
        <v>8</v>
      </c>
      <c r="G95" s="70" t="n">
        <v>65</v>
      </c>
      <c r="H95" s="70" t="n">
        <v>10</v>
      </c>
      <c r="I95" s="70" t="n">
        <v>23.9</v>
      </c>
      <c r="J95" s="70" t="n">
        <v>26</v>
      </c>
      <c r="K95" s="70" t="n"/>
      <c r="L95" s="70" t="n"/>
      <c r="M95" s="70" t="n">
        <v>5</v>
      </c>
      <c r="N95" s="70" t="n">
        <v>6</v>
      </c>
      <c r="O95" s="70" t="n">
        <v>4</v>
      </c>
      <c r="P95" s="70" t="n">
        <v>6</v>
      </c>
      <c r="Q95" s="70" t="n">
        <v>5</v>
      </c>
      <c r="R95" s="70" t="n">
        <v>5</v>
      </c>
      <c r="S95" s="70" t="n">
        <v>6</v>
      </c>
      <c r="T95" s="70" t="n">
        <v>9</v>
      </c>
      <c r="U95" s="70" t="n">
        <v>9</v>
      </c>
      <c r="V95" s="70" t="n">
        <v>1</v>
      </c>
      <c r="W95" s="70" t="inlineStr">
        <is>
          <t>None</t>
        </is>
      </c>
      <c r="X95" s="70" t="inlineStr">
        <is>
          <t>Outdoor / indoor</t>
        </is>
      </c>
      <c r="Y95" s="70" t="inlineStr">
        <is>
          <t>No</t>
        </is>
      </c>
      <c r="Z95" s="70" t="inlineStr">
        <is>
          <t>Low</t>
        </is>
      </c>
      <c r="AA95" s="70" t="inlineStr">
        <is>
          <t>Any</t>
        </is>
      </c>
      <c r="AB95" s="70" t="inlineStr">
        <is>
          <t>Low</t>
        </is>
      </c>
      <c r="AC95" s="70" t="n">
        <v>6</v>
      </c>
      <c r="AD95" s="70" t="inlineStr">
        <is>
          <t>Growing</t>
        </is>
      </c>
      <c r="AE95" s="70" t="inlineStr">
        <is>
          <t>S101</t>
        </is>
      </c>
      <c r="AF95" s="70" t="inlineStr">
        <is>
          <t>Same broad body-type tolerance as the men's game. The sport rewards anyone — height, weight, age, and athleticism vary widely at competitive level.</t>
        </is>
      </c>
      <c r="AG95" s="70" t="inlineStr">
        <is>
          <t>F</t>
        </is>
      </c>
    </row>
    <row r="96" ht="64" customHeight="1" s="37">
      <c r="A96" s="70" t="inlineStr">
        <is>
          <t>SP53</t>
        </is>
      </c>
      <c r="B96" s="70" t="inlineStr">
        <is>
          <t>Arm wrestling</t>
        </is>
      </c>
      <c r="C96" s="70" t="inlineStr">
        <is>
          <t>Senior competitive (male)</t>
        </is>
      </c>
      <c r="D96" s="70" t="inlineStr">
        <is>
          <t>Strength individual</t>
        </is>
      </c>
      <c r="E96" s="70" t="n">
        <v>176</v>
      </c>
      <c r="F96" s="70" t="n">
        <v>8</v>
      </c>
      <c r="G96" s="70" t="n">
        <v>88</v>
      </c>
      <c r="H96" s="70" t="n">
        <v>15</v>
      </c>
      <c r="I96" s="70" t="n">
        <v>28.4</v>
      </c>
      <c r="J96" s="70" t="n">
        <v>18</v>
      </c>
      <c r="K96" s="70" t="n">
        <v>1</v>
      </c>
      <c r="L96" s="70" t="n"/>
      <c r="M96" s="70" t="n">
        <v>2</v>
      </c>
      <c r="N96" s="70" t="n">
        <v>8</v>
      </c>
      <c r="O96" s="70" t="n">
        <v>10</v>
      </c>
      <c r="P96" s="70" t="n">
        <v>9</v>
      </c>
      <c r="Q96" s="70" t="n">
        <v>3</v>
      </c>
      <c r="R96" s="70" t="n">
        <v>3</v>
      </c>
      <c r="S96" s="70" t="n">
        <v>4</v>
      </c>
      <c r="T96" s="70" t="n">
        <v>8</v>
      </c>
      <c r="U96" s="70" t="n">
        <v>6</v>
      </c>
      <c r="V96" s="70" t="n">
        <v>1</v>
      </c>
      <c r="W96" s="70" t="inlineStr">
        <is>
          <t>Heavy</t>
        </is>
      </c>
      <c r="X96" s="70" t="inlineStr">
        <is>
          <t>Indoor</t>
        </is>
      </c>
      <c r="Y96" s="70" t="inlineStr">
        <is>
          <t>No</t>
        </is>
      </c>
      <c r="Z96" s="70" t="inlineStr">
        <is>
          <t>Low</t>
        </is>
      </c>
      <c r="AA96" s="70" t="inlineStr">
        <is>
          <t>Any</t>
        </is>
      </c>
      <c r="AB96" s="70" t="inlineStr">
        <is>
          <t>Medium</t>
        </is>
      </c>
      <c r="AC96" s="70" t="n">
        <v>2</v>
      </c>
      <c r="AD96" s="70" t="inlineStr">
        <is>
          <t>No</t>
        </is>
      </c>
      <c r="AE96" s="70" t="inlineStr">
        <is>
          <t>S100</t>
        </is>
      </c>
      <c r="AF96" s="70" t="inlineStr">
        <is>
          <t>Counter-intuitive body type — shorter forearm gives leverage advantage. Forearm girth, grip strength, and rotational power dominate. Limited peer-reviewed elite data; profile synthesised from biomechanics and combat-sport adjacencies. Lower-confidence entry.</t>
        </is>
      </c>
      <c r="AG96" s="70" t="inlineStr">
        <is>
          <t>M</t>
        </is>
      </c>
    </row>
    <row r="97" ht="64" customHeight="1" s="37">
      <c r="A97" s="70" t="inlineStr">
        <is>
          <t>SP53F</t>
        </is>
      </c>
      <c r="B97" s="70" t="inlineStr">
        <is>
          <t>Arm wrestling</t>
        </is>
      </c>
      <c r="C97" s="70" t="inlineStr">
        <is>
          <t>Senior competitive (female)</t>
        </is>
      </c>
      <c r="D97" s="70" t="inlineStr">
        <is>
          <t>Strength individual</t>
        </is>
      </c>
      <c r="E97" s="70" t="n">
        <v>165</v>
      </c>
      <c r="F97" s="70" t="n">
        <v>6</v>
      </c>
      <c r="G97" s="70" t="n">
        <v>68</v>
      </c>
      <c r="H97" s="70" t="n">
        <v>12</v>
      </c>
      <c r="I97" s="70" t="n">
        <v>24.9</v>
      </c>
      <c r="J97" s="70" t="n">
        <v>24</v>
      </c>
      <c r="K97" s="70" t="n"/>
      <c r="L97" s="70" t="n"/>
      <c r="M97" s="70" t="n">
        <v>2</v>
      </c>
      <c r="N97" s="70" t="n">
        <v>8</v>
      </c>
      <c r="O97" s="70" t="n">
        <v>9</v>
      </c>
      <c r="P97" s="70" t="n">
        <v>9</v>
      </c>
      <c r="Q97" s="70" t="n">
        <v>3</v>
      </c>
      <c r="R97" s="70" t="n">
        <v>3</v>
      </c>
      <c r="S97" s="70" t="n">
        <v>4</v>
      </c>
      <c r="T97" s="70" t="n">
        <v>8</v>
      </c>
      <c r="U97" s="70" t="n">
        <v>6</v>
      </c>
      <c r="V97" s="70" t="n">
        <v>1</v>
      </c>
      <c r="W97" s="70" t="inlineStr">
        <is>
          <t>Heavy</t>
        </is>
      </c>
      <c r="X97" s="70" t="inlineStr">
        <is>
          <t>Indoor</t>
        </is>
      </c>
      <c r="Y97" s="70" t="inlineStr">
        <is>
          <t>No</t>
        </is>
      </c>
      <c r="Z97" s="70" t="inlineStr">
        <is>
          <t>Low</t>
        </is>
      </c>
      <c r="AA97" s="70" t="inlineStr">
        <is>
          <t>Any</t>
        </is>
      </c>
      <c r="AB97" s="70" t="inlineStr">
        <is>
          <t>Medium</t>
        </is>
      </c>
      <c r="AC97" s="70" t="n">
        <v>2</v>
      </c>
      <c r="AD97" s="70" t="inlineStr">
        <is>
          <t>No</t>
        </is>
      </c>
      <c r="AE97" s="70" t="inlineStr">
        <is>
          <t>S100</t>
        </is>
      </c>
      <c r="AF97" s="70" t="inlineStr">
        <is>
          <t>Same leverage-and-grip-strength profile as men's game, scaled. Few elite anthropometric studies exist for female arm wrestlers.</t>
        </is>
      </c>
      <c r="AG97" s="70" t="inlineStr">
        <is>
          <t>F</t>
        </is>
      </c>
    </row>
    <row r="98" ht="64" customHeight="1" s="37">
      <c r="A98" s="70" t="inlineStr">
        <is>
          <t>SP54</t>
        </is>
      </c>
      <c r="B98" s="70" t="inlineStr">
        <is>
          <t>Curling</t>
        </is>
      </c>
      <c r="C98" s="70" t="inlineStr">
        <is>
          <t>Senior elite (male)</t>
        </is>
      </c>
      <c r="D98" s="70" t="inlineStr">
        <is>
          <t>Team precision</t>
        </is>
      </c>
      <c r="E98" s="70" t="n">
        <v>181</v>
      </c>
      <c r="F98" s="70" t="n">
        <v>7</v>
      </c>
      <c r="G98" s="70" t="n">
        <v>86</v>
      </c>
      <c r="H98" s="70" t="n">
        <v>10</v>
      </c>
      <c r="I98" s="70" t="n">
        <v>26.2</v>
      </c>
      <c r="J98" s="70" t="n">
        <v>18</v>
      </c>
      <c r="K98" s="70" t="n"/>
      <c r="L98" s="70" t="n"/>
      <c r="M98" s="70" t="n">
        <v>5</v>
      </c>
      <c r="N98" s="70" t="n">
        <v>7</v>
      </c>
      <c r="O98" s="70" t="n">
        <v>5</v>
      </c>
      <c r="P98" s="70" t="n">
        <v>5</v>
      </c>
      <c r="Q98" s="70" t="n">
        <v>4</v>
      </c>
      <c r="R98" s="70" t="n">
        <v>6</v>
      </c>
      <c r="S98" s="70" t="n">
        <v>7</v>
      </c>
      <c r="T98" s="70" t="n">
        <v>9</v>
      </c>
      <c r="U98" s="70" t="n">
        <v>8</v>
      </c>
      <c r="V98" s="70" t="n">
        <v>4</v>
      </c>
      <c r="W98" s="70" t="inlineStr">
        <is>
          <t>None</t>
        </is>
      </c>
      <c r="X98" s="70" t="inlineStr">
        <is>
          <t>Indoor</t>
        </is>
      </c>
      <c r="Y98" s="70" t="inlineStr">
        <is>
          <t>No</t>
        </is>
      </c>
      <c r="Z98" s="70" t="inlineStr">
        <is>
          <t>Medium</t>
        </is>
      </c>
      <c r="AA98" s="70" t="inlineStr">
        <is>
          <t>Any</t>
        </is>
      </c>
      <c r="AB98" s="70" t="inlineStr">
        <is>
          <t>Low</t>
        </is>
      </c>
      <c r="AC98" s="70" t="n">
        <v>2</v>
      </c>
      <c r="AD98" s="70" t="inlineStr">
        <is>
          <t>No</t>
        </is>
      </c>
      <c r="AE98" s="70" t="inlineStr">
        <is>
          <t>S102</t>
        </is>
      </c>
      <c r="AF98" s="70" t="inlineStr">
        <is>
          <t>Broad body-type tolerance — precision, balance, sliding-leg flexibility, and anaerobic burst capacity (intense sweeping) matter more than mass or height. One of the few sports where being middle-aged is no disadvantage.</t>
        </is>
      </c>
      <c r="AG98" s="70" t="inlineStr">
        <is>
          <t>M</t>
        </is>
      </c>
    </row>
    <row r="99" ht="64" customHeight="1" s="37">
      <c r="A99" s="70" t="inlineStr">
        <is>
          <t>SP54F</t>
        </is>
      </c>
      <c r="B99" s="70" t="inlineStr">
        <is>
          <t>Curling</t>
        </is>
      </c>
      <c r="C99" s="70" t="inlineStr">
        <is>
          <t>Senior elite (female)</t>
        </is>
      </c>
      <c r="D99" s="70" t="inlineStr">
        <is>
          <t>Team precision</t>
        </is>
      </c>
      <c r="E99" s="70" t="n">
        <v>168</v>
      </c>
      <c r="F99" s="70" t="n">
        <v>6</v>
      </c>
      <c r="G99" s="70" t="n">
        <v>70</v>
      </c>
      <c r="H99" s="70" t="n">
        <v>8</v>
      </c>
      <c r="I99" s="70" t="n">
        <v>24.8</v>
      </c>
      <c r="J99" s="70" t="n">
        <v>26</v>
      </c>
      <c r="K99" s="70" t="n"/>
      <c r="L99" s="70" t="n"/>
      <c r="M99" s="70" t="n">
        <v>5</v>
      </c>
      <c r="N99" s="70" t="n">
        <v>7</v>
      </c>
      <c r="O99" s="70" t="n">
        <v>4</v>
      </c>
      <c r="P99" s="70" t="n">
        <v>5</v>
      </c>
      <c r="Q99" s="70" t="n">
        <v>4</v>
      </c>
      <c r="R99" s="70" t="n">
        <v>6</v>
      </c>
      <c r="S99" s="70" t="n">
        <v>7</v>
      </c>
      <c r="T99" s="70" t="n">
        <v>9</v>
      </c>
      <c r="U99" s="70" t="n">
        <v>8</v>
      </c>
      <c r="V99" s="70" t="n">
        <v>4</v>
      </c>
      <c r="W99" s="70" t="inlineStr">
        <is>
          <t>None</t>
        </is>
      </c>
      <c r="X99" s="70" t="inlineStr">
        <is>
          <t>Indoor</t>
        </is>
      </c>
      <c r="Y99" s="70" t="inlineStr">
        <is>
          <t>No</t>
        </is>
      </c>
      <c r="Z99" s="70" t="inlineStr">
        <is>
          <t>Medium</t>
        </is>
      </c>
      <c r="AA99" s="70" t="inlineStr">
        <is>
          <t>Any</t>
        </is>
      </c>
      <c r="AB99" s="70" t="inlineStr">
        <is>
          <t>Low</t>
        </is>
      </c>
      <c r="AC99" s="70" t="n">
        <v>2</v>
      </c>
      <c r="AD99" s="70" t="inlineStr">
        <is>
          <t>No</t>
        </is>
      </c>
      <c r="AE99" s="70" t="inlineStr">
        <is>
          <t>S102</t>
        </is>
      </c>
      <c r="AF99" s="70" t="inlineStr">
        <is>
          <t>Same broad-tolerance profile as the men's game. Sweeping is the most physically demanding element; skip role allows lower physical demand.</t>
        </is>
      </c>
      <c r="AG99" s="70" t="inlineStr">
        <is>
          <t>F</t>
        </is>
      </c>
    </row>
    <row r="100" ht="64" customHeight="1" s="37">
      <c r="A100" s="70" t="inlineStr">
        <is>
          <t>SP55</t>
        </is>
      </c>
      <c r="B100" s="70" t="inlineStr">
        <is>
          <t>Surfing</t>
        </is>
      </c>
      <c r="C100" s="70" t="inlineStr">
        <is>
          <t>Senior competitive (male)</t>
        </is>
      </c>
      <c r="D100" s="70" t="inlineStr">
        <is>
          <t>Individual water</t>
        </is>
      </c>
      <c r="E100" s="70" t="n">
        <v>177</v>
      </c>
      <c r="F100" s="70" t="n">
        <v>5</v>
      </c>
      <c r="G100" s="70" t="n">
        <v>73</v>
      </c>
      <c r="H100" s="70" t="n">
        <v>6</v>
      </c>
      <c r="I100" s="70" t="n">
        <v>23.3</v>
      </c>
      <c r="J100" s="70" t="n">
        <v>9</v>
      </c>
      <c r="K100" s="70" t="n"/>
      <c r="L100" s="70" t="n"/>
      <c r="M100" s="70" t="n">
        <v>7</v>
      </c>
      <c r="N100" s="70" t="n">
        <v>9</v>
      </c>
      <c r="O100" s="70" t="n">
        <v>6</v>
      </c>
      <c r="P100" s="70" t="n">
        <v>8</v>
      </c>
      <c r="Q100" s="70" t="n">
        <v>5</v>
      </c>
      <c r="R100" s="70" t="n">
        <v>7</v>
      </c>
      <c r="S100" s="70" t="n">
        <v>8</v>
      </c>
      <c r="T100" s="70" t="n">
        <v>9</v>
      </c>
      <c r="U100" s="70" t="n">
        <v>9</v>
      </c>
      <c r="V100" s="70" t="n">
        <v>1</v>
      </c>
      <c r="W100" s="70" t="inlineStr">
        <is>
          <t>None</t>
        </is>
      </c>
      <c r="X100" s="70" t="inlineStr">
        <is>
          <t>Outdoor</t>
        </is>
      </c>
      <c r="Y100" s="70" t="inlineStr">
        <is>
          <t>Yes</t>
        </is>
      </c>
      <c r="Z100" s="70" t="inlineStr">
        <is>
          <t>Medium</t>
        </is>
      </c>
      <c r="AA100" s="70" t="inlineStr">
        <is>
          <t>Any</t>
        </is>
      </c>
      <c r="AB100" s="70" t="inlineStr">
        <is>
          <t>Medium</t>
        </is>
      </c>
      <c r="AC100" s="70" t="n">
        <v>2</v>
      </c>
      <c r="AD100" s="70" t="inlineStr">
        <is>
          <t>No</t>
        </is>
      </c>
      <c r="AE100" s="70" t="inlineStr">
        <is>
          <t>S99</t>
        </is>
      </c>
      <c r="AF100" s="70" t="inlineStr">
        <is>
          <t>Mesomorphic somatotype dominant. Paddle power (upper-body endurance) is the elite differentiator — competitors paddle 4-7 km per competition session. Lower-body explosiveness for the pop-up and balance for the ride.</t>
        </is>
      </c>
      <c r="AG100" s="70" t="inlineStr">
        <is>
          <t>M</t>
        </is>
      </c>
    </row>
    <row r="101" ht="64" customHeight="1" s="37">
      <c r="A101" s="70" t="inlineStr">
        <is>
          <t>SP55F</t>
        </is>
      </c>
      <c r="B101" s="70" t="inlineStr">
        <is>
          <t>Surfing</t>
        </is>
      </c>
      <c r="C101" s="70" t="inlineStr">
        <is>
          <t>Senior competitive (female)</t>
        </is>
      </c>
      <c r="D101" s="70" t="inlineStr">
        <is>
          <t>Individual water</t>
        </is>
      </c>
      <c r="E101" s="70" t="n">
        <v>165</v>
      </c>
      <c r="F101" s="70" t="n">
        <v>5</v>
      </c>
      <c r="G101" s="70" t="n">
        <v>60</v>
      </c>
      <c r="H101" s="70" t="n">
        <v>6</v>
      </c>
      <c r="I101" s="70" t="n">
        <v>22</v>
      </c>
      <c r="J101" s="70" t="n">
        <v>18</v>
      </c>
      <c r="K101" s="70" t="n"/>
      <c r="L101" s="70" t="n"/>
      <c r="M101" s="70" t="n">
        <v>7</v>
      </c>
      <c r="N101" s="70" t="n">
        <v>9</v>
      </c>
      <c r="O101" s="70" t="n">
        <v>5</v>
      </c>
      <c r="P101" s="70" t="n">
        <v>8</v>
      </c>
      <c r="Q101" s="70" t="n">
        <v>5</v>
      </c>
      <c r="R101" s="70" t="n">
        <v>7</v>
      </c>
      <c r="S101" s="70" t="n">
        <v>8</v>
      </c>
      <c r="T101" s="70" t="n">
        <v>9</v>
      </c>
      <c r="U101" s="70" t="n">
        <v>9</v>
      </c>
      <c r="V101" s="70" t="n">
        <v>1</v>
      </c>
      <c r="W101" s="70" t="inlineStr">
        <is>
          <t>None</t>
        </is>
      </c>
      <c r="X101" s="70" t="inlineStr">
        <is>
          <t>Outdoor</t>
        </is>
      </c>
      <c r="Y101" s="70" t="inlineStr">
        <is>
          <t>Yes</t>
        </is>
      </c>
      <c r="Z101" s="70" t="inlineStr">
        <is>
          <t>Medium</t>
        </is>
      </c>
      <c r="AA101" s="70" t="inlineStr">
        <is>
          <t>Any</t>
        </is>
      </c>
      <c r="AB101" s="70" t="inlineStr">
        <is>
          <t>Medium</t>
        </is>
      </c>
      <c r="AC101" s="70" t="n">
        <v>2</v>
      </c>
      <c r="AD101" s="70" t="inlineStr">
        <is>
          <t>No</t>
        </is>
      </c>
      <c r="AE101" s="70" t="inlineStr">
        <is>
          <t>S99</t>
        </is>
      </c>
      <c r="AF101" s="70" t="inlineStr">
        <is>
          <t>Same mesomorphic-balanced profile as male competitors, scaled. Paddle-power demand and balance dominate; lower-body explosive power for take-off.</t>
        </is>
      </c>
      <c r="AG101" s="70" t="inlineStr">
        <is>
          <t>F</t>
        </is>
      </c>
    </row>
    <row r="102" ht="64" customHeight="1" s="37">
      <c r="A102" s="70" t="inlineStr">
        <is>
          <t>SP56</t>
        </is>
      </c>
      <c r="B102" s="70" t="inlineStr">
        <is>
          <t>Ultimate frisbee</t>
        </is>
      </c>
      <c r="C102" s="70" t="inlineStr">
        <is>
          <t>Senior elite (male)</t>
        </is>
      </c>
      <c r="D102" s="70" t="inlineStr">
        <is>
          <t>Team field</t>
        </is>
      </c>
      <c r="E102" s="70" t="n">
        <v>183</v>
      </c>
      <c r="F102" s="70" t="n">
        <v>7</v>
      </c>
      <c r="G102" s="70" t="n">
        <v>79</v>
      </c>
      <c r="H102" s="70" t="n">
        <v>7</v>
      </c>
      <c r="I102" s="70" t="n">
        <v>23.6</v>
      </c>
      <c r="J102" s="70" t="n">
        <v>11</v>
      </c>
      <c r="K102" s="70" t="n"/>
      <c r="L102" s="70" t="n"/>
      <c r="M102" s="70" t="n">
        <v>9</v>
      </c>
      <c r="N102" s="70" t="n">
        <v>8</v>
      </c>
      <c r="O102" s="70" t="n">
        <v>5</v>
      </c>
      <c r="P102" s="70" t="n">
        <v>8</v>
      </c>
      <c r="Q102" s="70" t="n">
        <v>8</v>
      </c>
      <c r="R102" s="70" t="n">
        <v>9</v>
      </c>
      <c r="S102" s="70" t="n">
        <v>6</v>
      </c>
      <c r="T102" s="70" t="n">
        <v>9</v>
      </c>
      <c r="U102" s="70" t="n">
        <v>8</v>
      </c>
      <c r="V102" s="70" t="n">
        <v>7</v>
      </c>
      <c r="W102" s="70" t="inlineStr">
        <is>
          <t>None</t>
        </is>
      </c>
      <c r="X102" s="70" t="inlineStr">
        <is>
          <t>Outdoor</t>
        </is>
      </c>
      <c r="Y102" s="70" t="inlineStr">
        <is>
          <t>No</t>
        </is>
      </c>
      <c r="Z102" s="70" t="inlineStr">
        <is>
          <t>Low</t>
        </is>
      </c>
      <c r="AA102" s="70" t="inlineStr">
        <is>
          <t>Any</t>
        </is>
      </c>
      <c r="AB102" s="70" t="inlineStr">
        <is>
          <t>Low</t>
        </is>
      </c>
      <c r="AC102" s="70" t="n">
        <v>5</v>
      </c>
      <c r="AD102" s="70" t="inlineStr">
        <is>
          <t>Growing</t>
        </is>
      </c>
      <c r="AE102" s="70" t="inlineStr">
        <is>
          <t>S103</t>
        </is>
      </c>
      <c r="AF102" s="70" t="inlineStr">
        <is>
          <t>Sport-physiology profile sits between soccer and field hockey — endurance + sprint + jumping. Lower contact than rugby or GAA. Accessible entry sport; growing club presence in Ireland.</t>
        </is>
      </c>
      <c r="AG102" s="70" t="inlineStr">
        <is>
          <t>M</t>
        </is>
      </c>
    </row>
    <row r="103" ht="64" customHeight="1" s="37">
      <c r="A103" s="70" t="inlineStr">
        <is>
          <t>SP56F</t>
        </is>
      </c>
      <c r="B103" s="70" t="inlineStr">
        <is>
          <t>Ultimate frisbee</t>
        </is>
      </c>
      <c r="C103" s="70" t="inlineStr">
        <is>
          <t>Senior elite (female)</t>
        </is>
      </c>
      <c r="D103" s="70" t="inlineStr">
        <is>
          <t>Team field</t>
        </is>
      </c>
      <c r="E103" s="70" t="n">
        <v>170</v>
      </c>
      <c r="F103" s="70" t="n">
        <v>6</v>
      </c>
      <c r="G103" s="70" t="n">
        <v>65</v>
      </c>
      <c r="H103" s="70" t="n">
        <v>6</v>
      </c>
      <c r="I103" s="70" t="n">
        <v>22.5</v>
      </c>
      <c r="J103" s="70" t="n">
        <v>20</v>
      </c>
      <c r="K103" s="70" t="n"/>
      <c r="L103" s="70" t="n"/>
      <c r="M103" s="70" t="n">
        <v>9</v>
      </c>
      <c r="N103" s="70" t="n">
        <v>8</v>
      </c>
      <c r="O103" s="70" t="n">
        <v>5</v>
      </c>
      <c r="P103" s="70" t="n">
        <v>8</v>
      </c>
      <c r="Q103" s="70" t="n">
        <v>8</v>
      </c>
      <c r="R103" s="70" t="n">
        <v>9</v>
      </c>
      <c r="S103" s="70" t="n">
        <v>6</v>
      </c>
      <c r="T103" s="70" t="n">
        <v>9</v>
      </c>
      <c r="U103" s="70" t="n">
        <v>8</v>
      </c>
      <c r="V103" s="70" t="n">
        <v>7</v>
      </c>
      <c r="W103" s="70" t="inlineStr">
        <is>
          <t>None</t>
        </is>
      </c>
      <c r="X103" s="70" t="inlineStr">
        <is>
          <t>Outdoor</t>
        </is>
      </c>
      <c r="Y103" s="70" t="inlineStr">
        <is>
          <t>No</t>
        </is>
      </c>
      <c r="Z103" s="70" t="inlineStr">
        <is>
          <t>Low</t>
        </is>
      </c>
      <c r="AA103" s="70" t="inlineStr">
        <is>
          <t>Any</t>
        </is>
      </c>
      <c r="AB103" s="70" t="inlineStr">
        <is>
          <t>Low</t>
        </is>
      </c>
      <c r="AC103" s="70" t="n">
        <v>5</v>
      </c>
      <c r="AD103" s="70" t="inlineStr">
        <is>
          <t>Growing</t>
        </is>
      </c>
      <c r="AE103" s="70" t="inlineStr">
        <is>
          <t>S103</t>
        </is>
      </c>
      <c r="AF103" s="70" t="inlineStr">
        <is>
          <t>Mixed-gender at recreational levels is a feature of the sport. Senior elite female profile mirrors the men's, scaled.</t>
        </is>
      </c>
      <c r="AG103" s="70" t="inlineStr">
        <is>
          <t>F</t>
        </is>
      </c>
    </row>
    <row r="104">
      <c r="A104" s="36" t="inlineStr">
        <is>
          <t>SP57</t>
        </is>
      </c>
      <c r="B104" s="36" t="inlineStr">
        <is>
          <t>Padel</t>
        </is>
      </c>
      <c r="C104" s="36" t="inlineStr">
        <is>
          <t>Doubles</t>
        </is>
      </c>
      <c r="D104" s="36" t="inlineStr">
        <is>
          <t>Individual racquet</t>
        </is>
      </c>
      <c r="E104" s="36" t="n">
        <v>175</v>
      </c>
      <c r="F104" s="36" t="n">
        <v>8</v>
      </c>
      <c r="G104" s="36" t="n">
        <v>74</v>
      </c>
      <c r="H104" s="36" t="n">
        <v>8</v>
      </c>
      <c r="I104" s="36" t="n">
        <v>24.2</v>
      </c>
      <c r="J104" s="36" t="n">
        <v>14</v>
      </c>
      <c r="M104" s="36" t="n">
        <v>6</v>
      </c>
      <c r="N104" s="36" t="n">
        <v>7</v>
      </c>
      <c r="O104" s="36" t="n">
        <v>3</v>
      </c>
      <c r="P104" s="36" t="n">
        <v>5</v>
      </c>
      <c r="Q104" s="36" t="n">
        <v>7</v>
      </c>
      <c r="R104" s="36" t="n">
        <v>5</v>
      </c>
      <c r="S104" s="36" t="n">
        <v>6</v>
      </c>
      <c r="T104" s="36" t="n">
        <v>8</v>
      </c>
      <c r="U104" s="36" t="n">
        <v>9</v>
      </c>
      <c r="V104" s="36" t="n">
        <v>2</v>
      </c>
      <c r="W104" s="36" t="inlineStr">
        <is>
          <t>None</t>
        </is>
      </c>
      <c r="X104" s="36" t="inlineStr">
        <is>
          <t>Both</t>
        </is>
      </c>
      <c r="Y104" s="36" t="inlineStr">
        <is>
          <t>No</t>
        </is>
      </c>
      <c r="Z104" s="36" t="inlineStr">
        <is>
          <t>Medium</t>
        </is>
      </c>
      <c r="AA104" s="36" t="inlineStr">
        <is>
          <t>8–60</t>
        </is>
      </c>
      <c r="AB104" s="36" t="inlineStr">
        <is>
          <t>Low</t>
        </is>
      </c>
      <c r="AC104" s="36" t="n">
        <v>5</v>
      </c>
      <c r="AD104" s="36" t="inlineStr">
        <is>
          <t>No</t>
        </is>
      </c>
      <c r="AE104" s="36" t="inlineStr"/>
      <c r="AF104" s="36" t="inlineStr">
        <is>
          <t>Fast-growing glass-court racquet sport. Highly accessible across age groups.</t>
        </is>
      </c>
      <c r="AG104" s="36" t="inlineStr">
        <is>
          <t>M</t>
        </is>
      </c>
    </row>
    <row r="105">
      <c r="A105" s="36" t="inlineStr">
        <is>
          <t>SP58</t>
        </is>
      </c>
      <c r="B105" s="36" t="inlineStr">
        <is>
          <t>Volleyball</t>
        </is>
      </c>
      <c r="C105" s="36" t="inlineStr">
        <is>
          <t>Indoor (6-a-side)</t>
        </is>
      </c>
      <c r="D105" s="36" t="inlineStr">
        <is>
          <t>Team court</t>
        </is>
      </c>
      <c r="E105" s="36" t="n">
        <v>194</v>
      </c>
      <c r="F105" s="36" t="n">
        <v>7</v>
      </c>
      <c r="G105" s="36" t="n">
        <v>90</v>
      </c>
      <c r="H105" s="36" t="n">
        <v>9</v>
      </c>
      <c r="I105" s="36" t="n">
        <v>23.9</v>
      </c>
      <c r="J105" s="36" t="n">
        <v>12</v>
      </c>
      <c r="M105" s="36" t="n">
        <v>6</v>
      </c>
      <c r="N105" s="36" t="n">
        <v>8</v>
      </c>
      <c r="O105" s="36" t="n">
        <v>5</v>
      </c>
      <c r="P105" s="36" t="n">
        <v>8</v>
      </c>
      <c r="Q105" s="36" t="n">
        <v>7</v>
      </c>
      <c r="R105" s="36" t="n">
        <v>5</v>
      </c>
      <c r="S105" s="36" t="n">
        <v>6</v>
      </c>
      <c r="T105" s="36" t="n">
        <v>8</v>
      </c>
      <c r="U105" s="36" t="n">
        <v>8</v>
      </c>
      <c r="V105" s="36" t="n">
        <v>6</v>
      </c>
      <c r="W105" s="36" t="inlineStr">
        <is>
          <t>None</t>
        </is>
      </c>
      <c r="X105" s="36" t="inlineStr">
        <is>
          <t>Indoor</t>
        </is>
      </c>
      <c r="Y105" s="36" t="inlineStr">
        <is>
          <t>No</t>
        </is>
      </c>
      <c r="Z105" s="36" t="inlineStr">
        <is>
          <t>Low</t>
        </is>
      </c>
      <c r="AA105" s="36" t="inlineStr">
        <is>
          <t>8–14</t>
        </is>
      </c>
      <c r="AB105" s="36" t="inlineStr">
        <is>
          <t>Low</t>
        </is>
      </c>
      <c r="AC105" s="36" t="n">
        <v>6</v>
      </c>
      <c r="AD105" s="36" t="inlineStr">
        <is>
          <t>Yes</t>
        </is>
      </c>
      <c r="AE105" s="36" t="inlineStr"/>
      <c r="AF105" s="36" t="inlineStr">
        <is>
          <t>Elite indoor volleyball is height-dominated — top players average 194–198 cm.</t>
        </is>
      </c>
      <c r="AG105" s="36" t="inlineStr">
        <is>
          <t>M</t>
        </is>
      </c>
    </row>
    <row r="106">
      <c r="A106" s="36" t="inlineStr">
        <is>
          <t>SP58B</t>
        </is>
      </c>
      <c r="B106" s="36" t="inlineStr">
        <is>
          <t>Volleyball (Beach)</t>
        </is>
      </c>
      <c r="C106" s="36" t="inlineStr">
        <is>
          <t>Beach (2-a-side)</t>
        </is>
      </c>
      <c r="D106" s="36" t="inlineStr">
        <is>
          <t>Team court</t>
        </is>
      </c>
      <c r="E106" s="36" t="n">
        <v>192</v>
      </c>
      <c r="F106" s="36" t="n">
        <v>7</v>
      </c>
      <c r="G106" s="36" t="n">
        <v>86</v>
      </c>
      <c r="H106" s="36" t="n">
        <v>8</v>
      </c>
      <c r="I106" s="36" t="n">
        <v>23.3</v>
      </c>
      <c r="J106" s="36" t="n">
        <v>11</v>
      </c>
      <c r="M106" s="36" t="n">
        <v>7</v>
      </c>
      <c r="N106" s="36" t="n">
        <v>8</v>
      </c>
      <c r="O106" s="36" t="n">
        <v>5</v>
      </c>
      <c r="P106" s="36" t="n">
        <v>8</v>
      </c>
      <c r="Q106" s="36" t="n">
        <v>7</v>
      </c>
      <c r="R106" s="36" t="n">
        <v>6</v>
      </c>
      <c r="S106" s="36" t="n">
        <v>6</v>
      </c>
      <c r="T106" s="36" t="n">
        <v>8</v>
      </c>
      <c r="U106" s="36" t="n">
        <v>8</v>
      </c>
      <c r="V106" s="36" t="n">
        <v>2</v>
      </c>
      <c r="W106" s="36" t="inlineStr">
        <is>
          <t>None</t>
        </is>
      </c>
      <c r="X106" s="36" t="inlineStr">
        <is>
          <t>Outdoor</t>
        </is>
      </c>
      <c r="Y106" s="36" t="inlineStr">
        <is>
          <t>No</t>
        </is>
      </c>
      <c r="Z106" s="36" t="inlineStr">
        <is>
          <t>Low</t>
        </is>
      </c>
      <c r="AA106" s="36" t="inlineStr">
        <is>
          <t>10–18</t>
        </is>
      </c>
      <c r="AB106" s="36" t="inlineStr">
        <is>
          <t>Low</t>
        </is>
      </c>
      <c r="AC106" s="36" t="n">
        <v>4</v>
      </c>
      <c r="AD106" s="36" t="inlineStr">
        <is>
          <t>No</t>
        </is>
      </c>
      <c r="AE106" s="36" t="inlineStr"/>
      <c r="AF106" s="36" t="inlineStr">
        <is>
          <t>Higher aerobic load from sand surface with only 2 players per side.</t>
        </is>
      </c>
      <c r="AG106" s="36" t="inlineStr">
        <is>
          <t>M</t>
        </is>
      </c>
    </row>
    <row r="107">
      <c r="A107" s="36" t="inlineStr">
        <is>
          <t>SP59</t>
        </is>
      </c>
      <c r="B107" s="36" t="inlineStr">
        <is>
          <t>Calisthenics</t>
        </is>
      </c>
      <c r="C107" s="36" t="inlineStr">
        <is>
          <t>Freestyle / Competition</t>
        </is>
      </c>
      <c r="D107" s="36" t="inlineStr">
        <is>
          <t>Strength individual</t>
        </is>
      </c>
      <c r="E107" s="36" t="n">
        <v>174</v>
      </c>
      <c r="F107" s="36" t="n">
        <v>8</v>
      </c>
      <c r="G107" s="36" t="n">
        <v>68</v>
      </c>
      <c r="H107" s="36" t="n">
        <v>8</v>
      </c>
      <c r="I107" s="36" t="n">
        <v>22.5</v>
      </c>
      <c r="J107" s="36" t="n">
        <v>10</v>
      </c>
      <c r="M107" s="36" t="n">
        <v>4</v>
      </c>
      <c r="N107" s="36" t="n">
        <v>6</v>
      </c>
      <c r="O107" s="36" t="n">
        <v>8</v>
      </c>
      <c r="P107" s="36" t="n">
        <v>8</v>
      </c>
      <c r="Q107" s="36" t="n">
        <v>3</v>
      </c>
      <c r="R107" s="36" t="n">
        <v>3</v>
      </c>
      <c r="S107" s="36" t="n">
        <v>8</v>
      </c>
      <c r="T107" s="36" t="n">
        <v>9</v>
      </c>
      <c r="U107" s="36" t="n">
        <v>4</v>
      </c>
      <c r="V107" s="36" t="n">
        <v>1</v>
      </c>
      <c r="W107" s="36" t="inlineStr">
        <is>
          <t>None</t>
        </is>
      </c>
      <c r="X107" s="36" t="inlineStr">
        <is>
          <t>Both</t>
        </is>
      </c>
      <c r="Y107" s="36" t="inlineStr">
        <is>
          <t>No</t>
        </is>
      </c>
      <c r="Z107" s="36" t="inlineStr">
        <is>
          <t>Low</t>
        </is>
      </c>
      <c r="AA107" s="36" t="inlineStr">
        <is>
          <t>10–20</t>
        </is>
      </c>
      <c r="AB107" s="36" t="inlineStr">
        <is>
          <t>Low</t>
        </is>
      </c>
      <c r="AC107" s="36" t="n">
        <v>6</v>
      </c>
      <c r="AD107" s="36" t="inlineStr">
        <is>
          <t>No</t>
        </is>
      </c>
      <c r="AE107" s="36" t="inlineStr"/>
      <c r="AF107" s="36" t="inlineStr">
        <is>
          <t>Bodyweight strength/skill. Lean athletes with favourable strength-to-weight ratio excel.</t>
        </is>
      </c>
      <c r="AG107" s="36" t="inlineStr">
        <is>
          <t>M</t>
        </is>
      </c>
    </row>
    <row r="108">
      <c r="A108" s="36" t="inlineStr">
        <is>
          <t>SP60</t>
        </is>
      </c>
      <c r="B108" s="36" t="inlineStr">
        <is>
          <t>Mountain Biking</t>
        </is>
      </c>
      <c r="C108" s="36" t="inlineStr">
        <is>
          <t>XC / Trail</t>
        </is>
      </c>
      <c r="D108" s="36" t="inlineStr">
        <is>
          <t>Endurance individual</t>
        </is>
      </c>
      <c r="E108" s="36" t="n">
        <v>175</v>
      </c>
      <c r="F108" s="36" t="n">
        <v>7</v>
      </c>
      <c r="G108" s="36" t="n">
        <v>68</v>
      </c>
      <c r="H108" s="36" t="n">
        <v>7</v>
      </c>
      <c r="I108" s="36" t="n">
        <v>22.2</v>
      </c>
      <c r="J108" s="36" t="n">
        <v>11</v>
      </c>
      <c r="M108" s="36" t="n">
        <v>9</v>
      </c>
      <c r="N108" s="36" t="n">
        <v>6</v>
      </c>
      <c r="O108" s="36" t="n">
        <v>4</v>
      </c>
      <c r="P108" s="36" t="n">
        <v>6</v>
      </c>
      <c r="Q108" s="36" t="n">
        <v>5</v>
      </c>
      <c r="R108" s="36" t="n">
        <v>9</v>
      </c>
      <c r="S108" s="36" t="n">
        <v>4</v>
      </c>
      <c r="T108" s="36" t="n">
        <v>7</v>
      </c>
      <c r="U108" s="36" t="n">
        <v>7</v>
      </c>
      <c r="V108" s="36" t="n">
        <v>1</v>
      </c>
      <c r="W108" s="36" t="inlineStr">
        <is>
          <t>None</t>
        </is>
      </c>
      <c r="X108" s="36" t="inlineStr">
        <is>
          <t>Outdoor</t>
        </is>
      </c>
      <c r="Y108" s="36" t="inlineStr">
        <is>
          <t>No</t>
        </is>
      </c>
      <c r="Z108" s="36" t="inlineStr">
        <is>
          <t>High</t>
        </is>
      </c>
      <c r="AA108" s="36" t="inlineStr">
        <is>
          <t>8–18</t>
        </is>
      </c>
      <c r="AB108" s="36" t="inlineStr">
        <is>
          <t>Medium</t>
        </is>
      </c>
      <c r="AC108" s="36" t="n">
        <v>7</v>
      </c>
      <c r="AD108" s="36" t="inlineStr">
        <is>
          <t>Yes</t>
        </is>
      </c>
      <c r="AE108" s="36" t="inlineStr"/>
      <c r="AF108" s="36" t="inlineStr">
        <is>
          <t>Strong aerobic engine essential. Technical trail riding; Ireland has good trail networks.</t>
        </is>
      </c>
      <c r="AG108" s="36" t="inlineStr">
        <is>
          <t>M</t>
        </is>
      </c>
    </row>
    <row r="109">
      <c r="A109" s="36" t="inlineStr">
        <is>
          <t>SP61</t>
        </is>
      </c>
      <c r="B109" s="36" t="inlineStr">
        <is>
          <t>Parkour / Freerunning</t>
        </is>
      </c>
      <c r="C109" s="36" t="inlineStr">
        <is>
          <t>Freestyle</t>
        </is>
      </c>
      <c r="D109" s="36" t="inlineStr">
        <is>
          <t>Power-skill individual</t>
        </is>
      </c>
      <c r="E109" s="36" t="n">
        <v>173</v>
      </c>
      <c r="F109" s="36" t="n">
        <v>8</v>
      </c>
      <c r="G109" s="36" t="n">
        <v>67</v>
      </c>
      <c r="H109" s="36" t="n">
        <v>7</v>
      </c>
      <c r="I109" s="36" t="n">
        <v>22.4</v>
      </c>
      <c r="J109" s="36" t="n">
        <v>12</v>
      </c>
      <c r="M109" s="36" t="n">
        <v>5</v>
      </c>
      <c r="N109" s="36" t="n">
        <v>7</v>
      </c>
      <c r="O109" s="36" t="n">
        <v>6</v>
      </c>
      <c r="P109" s="36" t="n">
        <v>9</v>
      </c>
      <c r="Q109" s="36" t="n">
        <v>7</v>
      </c>
      <c r="R109" s="36" t="n">
        <v>4</v>
      </c>
      <c r="S109" s="36" t="n">
        <v>8</v>
      </c>
      <c r="T109" s="36" t="n">
        <v>9</v>
      </c>
      <c r="U109" s="36" t="n">
        <v>8</v>
      </c>
      <c r="V109" s="36" t="n">
        <v>1</v>
      </c>
      <c r="W109" s="36" t="inlineStr">
        <is>
          <t>None</t>
        </is>
      </c>
      <c r="X109" s="36" t="inlineStr">
        <is>
          <t>Both</t>
        </is>
      </c>
      <c r="Y109" s="36" t="inlineStr">
        <is>
          <t>No</t>
        </is>
      </c>
      <c r="Z109" s="36" t="inlineStr">
        <is>
          <t>Low</t>
        </is>
      </c>
      <c r="AA109" s="36" t="inlineStr">
        <is>
          <t>8–18</t>
        </is>
      </c>
      <c r="AB109" s="36" t="inlineStr">
        <is>
          <t>High</t>
        </is>
      </c>
      <c r="AC109" s="36" t="n">
        <v>5</v>
      </c>
      <c r="AD109" s="36" t="inlineStr">
        <is>
          <t>No</t>
        </is>
      </c>
      <c r="AE109" s="36" t="inlineStr"/>
      <c r="AF109" s="36" t="inlineStr">
        <is>
          <t>Urban movement discipline. Explosive power, spatial awareness, and body coordination critical.</t>
        </is>
      </c>
      <c r="AG109" s="36" t="inlineStr">
        <is>
          <t>M</t>
        </is>
      </c>
    </row>
    <row r="110">
      <c r="A110" s="36" t="inlineStr">
        <is>
          <t>SP62</t>
        </is>
      </c>
      <c r="B110" s="36" t="inlineStr">
        <is>
          <t>Hyrox</t>
        </is>
      </c>
      <c r="C110" s="36" t="inlineStr">
        <is>
          <t>Individual</t>
        </is>
      </c>
      <c r="D110" s="36" t="inlineStr">
        <is>
          <t>Endurance multi</t>
        </is>
      </c>
      <c r="E110" s="36" t="n">
        <v>176</v>
      </c>
      <c r="F110" s="36" t="n">
        <v>8</v>
      </c>
      <c r="G110" s="36" t="n">
        <v>77</v>
      </c>
      <c r="H110" s="36" t="n">
        <v>9</v>
      </c>
      <c r="I110" s="36" t="n">
        <v>24.9</v>
      </c>
      <c r="J110" s="36" t="n">
        <v>13</v>
      </c>
      <c r="M110" s="36" t="n">
        <v>9</v>
      </c>
      <c r="N110" s="36" t="n">
        <v>7</v>
      </c>
      <c r="O110" s="36" t="n">
        <v>6</v>
      </c>
      <c r="P110" s="36" t="n">
        <v>6</v>
      </c>
      <c r="Q110" s="36" t="n">
        <v>6</v>
      </c>
      <c r="R110" s="36" t="n">
        <v>9</v>
      </c>
      <c r="S110" s="36" t="n">
        <v>4</v>
      </c>
      <c r="T110" s="36" t="n">
        <v>5</v>
      </c>
      <c r="U110" s="36" t="n">
        <v>4</v>
      </c>
      <c r="V110" s="36" t="n">
        <v>1</v>
      </c>
      <c r="W110" s="36" t="inlineStr">
        <is>
          <t>None</t>
        </is>
      </c>
      <c r="X110" s="36" t="inlineStr">
        <is>
          <t>Indoor</t>
        </is>
      </c>
      <c r="Y110" s="36" t="inlineStr">
        <is>
          <t>No</t>
        </is>
      </c>
      <c r="Z110" s="36" t="inlineStr">
        <is>
          <t>Medium</t>
        </is>
      </c>
      <c r="AA110" s="36" t="inlineStr">
        <is>
          <t>16–35</t>
        </is>
      </c>
      <c r="AB110" s="36" t="inlineStr">
        <is>
          <t>Medium</t>
        </is>
      </c>
      <c r="AC110" s="36" t="n">
        <v>6</v>
      </c>
      <c r="AD110" s="36" t="inlineStr">
        <is>
          <t>No</t>
        </is>
      </c>
      <c r="AE110" s="36" t="inlineStr"/>
      <c r="AF110" s="36" t="inlineStr">
        <is>
          <t>8 km run split by 8 fixed exercise stations. Aerobic capacity is the primary differentiator.</t>
        </is>
      </c>
      <c r="AG110" s="36" t="inlineStr">
        <is>
          <t>M</t>
        </is>
      </c>
    </row>
    <row r="111">
      <c r="A111" s="36" t="inlineStr">
        <is>
          <t>SP63</t>
        </is>
      </c>
      <c r="B111" s="36" t="inlineStr">
        <is>
          <t>CrossFit</t>
        </is>
      </c>
      <c r="C111" s="36" t="inlineStr">
        <is>
          <t>WOD / Competition</t>
        </is>
      </c>
      <c r="D111" s="36" t="inlineStr">
        <is>
          <t>Endurance multi</t>
        </is>
      </c>
      <c r="E111" s="36" t="n">
        <v>175</v>
      </c>
      <c r="F111" s="36" t="n">
        <v>8</v>
      </c>
      <c r="G111" s="36" t="n">
        <v>85</v>
      </c>
      <c r="H111" s="36" t="n">
        <v>10</v>
      </c>
      <c r="I111" s="36" t="n">
        <v>27.8</v>
      </c>
      <c r="J111" s="36" t="n">
        <v>12</v>
      </c>
      <c r="M111" s="36" t="n">
        <v>8</v>
      </c>
      <c r="N111" s="36" t="n">
        <v>8</v>
      </c>
      <c r="O111" s="36" t="n">
        <v>8</v>
      </c>
      <c r="P111" s="36" t="n">
        <v>8</v>
      </c>
      <c r="Q111" s="36" t="n">
        <v>6</v>
      </c>
      <c r="R111" s="36" t="n">
        <v>7</v>
      </c>
      <c r="S111" s="36" t="n">
        <v>6</v>
      </c>
      <c r="T111" s="36" t="n">
        <v>7</v>
      </c>
      <c r="U111" s="36" t="n">
        <v>5</v>
      </c>
      <c r="V111" s="36" t="n">
        <v>1</v>
      </c>
      <c r="W111" s="36" t="inlineStr">
        <is>
          <t>None</t>
        </is>
      </c>
      <c r="X111" s="36" t="inlineStr">
        <is>
          <t>Indoor</t>
        </is>
      </c>
      <c r="Y111" s="36" t="inlineStr">
        <is>
          <t>No</t>
        </is>
      </c>
      <c r="Z111" s="36" t="inlineStr">
        <is>
          <t>Medium</t>
        </is>
      </c>
      <c r="AA111" s="36" t="inlineStr">
        <is>
          <t>16–30</t>
        </is>
      </c>
      <c r="AB111" s="36" t="inlineStr">
        <is>
          <t>Medium</t>
        </is>
      </c>
      <c r="AC111" s="36" t="n">
        <v>8</v>
      </c>
      <c r="AD111" s="36" t="inlineStr">
        <is>
          <t>Yes</t>
        </is>
      </c>
      <c r="AE111" s="36" t="inlineStr"/>
      <c r="AF111" s="36" t="inlineStr">
        <is>
          <t>High-intensity functional fitness: Olympic lifting, gymnastics, and conditioning.</t>
        </is>
      </c>
      <c r="AG111" s="36" t="inlineStr">
        <is>
          <t>M</t>
        </is>
      </c>
    </row>
    <row r="112">
      <c r="A112" s="36" t="inlineStr">
        <is>
          <t>SP64</t>
        </is>
      </c>
      <c r="B112" s="36" t="inlineStr">
        <is>
          <t>Drone Racing (FPV)</t>
        </is>
      </c>
      <c r="C112" s="36" t="inlineStr">
        <is>
          <t>Individual</t>
        </is>
      </c>
      <c r="D112" s="36" t="inlineStr">
        <is>
          <t>Individual technical</t>
        </is>
      </c>
      <c r="E112" s="36" t="n">
        <v>175</v>
      </c>
      <c r="F112" s="36" t="n">
        <v>10</v>
      </c>
      <c r="G112" s="36" t="n">
        <v>73</v>
      </c>
      <c r="H112" s="36" t="n">
        <v>12</v>
      </c>
      <c r="I112" s="36" t="n">
        <v>23.8</v>
      </c>
      <c r="J112" s="36" t="n">
        <v>16</v>
      </c>
      <c r="M112" s="36" t="n">
        <v>1</v>
      </c>
      <c r="N112" s="36" t="n">
        <v>1</v>
      </c>
      <c r="O112" s="36" t="n">
        <v>1</v>
      </c>
      <c r="P112" s="36" t="n">
        <v>1</v>
      </c>
      <c r="Q112" s="36" t="n">
        <v>1</v>
      </c>
      <c r="R112" s="36" t="n">
        <v>1</v>
      </c>
      <c r="S112" s="36" t="n">
        <v>1</v>
      </c>
      <c r="T112" s="36" t="n">
        <v>7</v>
      </c>
      <c r="U112" s="36" t="n">
        <v>10</v>
      </c>
      <c r="V112" s="36" t="n">
        <v>1</v>
      </c>
      <c r="W112" s="36" t="inlineStr">
        <is>
          <t>None</t>
        </is>
      </c>
      <c r="X112" s="36" t="inlineStr">
        <is>
          <t>Both</t>
        </is>
      </c>
      <c r="Y112" s="36" t="inlineStr">
        <is>
          <t>No</t>
        </is>
      </c>
      <c r="Z112" s="36" t="inlineStr">
        <is>
          <t>High</t>
        </is>
      </c>
      <c r="AA112" s="36" t="inlineStr">
        <is>
          <t>12–20</t>
        </is>
      </c>
      <c r="AB112" s="36" t="inlineStr">
        <is>
          <t>Low</t>
        </is>
      </c>
      <c r="AC112" s="36" t="n">
        <v>3</v>
      </c>
      <c r="AD112" s="36" t="inlineStr">
        <is>
          <t>No</t>
        </is>
      </c>
      <c r="AE112" s="36" t="inlineStr"/>
      <c r="AF112" s="36" t="inlineStr">
        <is>
          <t>FPV drone racing at 130+ km/h. Reaction time and hand-eye coordination are defining.</t>
        </is>
      </c>
      <c r="AG112" s="36" t="inlineStr">
        <is>
          <t>M</t>
        </is>
      </c>
    </row>
    <row r="113">
      <c r="A113" s="36" t="inlineStr">
        <is>
          <t>SP65</t>
        </is>
      </c>
      <c r="B113" s="36" t="inlineStr">
        <is>
          <t>Karting</t>
        </is>
      </c>
      <c r="C113" s="36" t="inlineStr">
        <is>
          <t>Sprint / Endurance</t>
        </is>
      </c>
      <c r="D113" s="36" t="inlineStr">
        <is>
          <t>Individual technical</t>
        </is>
      </c>
      <c r="E113" s="36" t="n">
        <v>172</v>
      </c>
      <c r="F113" s="36" t="n">
        <v>8</v>
      </c>
      <c r="G113" s="36" t="n">
        <v>68</v>
      </c>
      <c r="H113" s="36" t="n">
        <v>8</v>
      </c>
      <c r="I113" s="36" t="n">
        <v>23</v>
      </c>
      <c r="J113" s="36" t="n">
        <v>15</v>
      </c>
      <c r="M113" s="36" t="n">
        <v>4</v>
      </c>
      <c r="N113" s="36" t="n">
        <v>6</v>
      </c>
      <c r="O113" s="36" t="n">
        <v>5</v>
      </c>
      <c r="P113" s="36" t="n">
        <v>2</v>
      </c>
      <c r="Q113" s="36" t="n">
        <v>1</v>
      </c>
      <c r="R113" s="36" t="n">
        <v>4</v>
      </c>
      <c r="S113" s="36" t="n">
        <v>3</v>
      </c>
      <c r="T113" s="36" t="n">
        <v>8</v>
      </c>
      <c r="U113" s="36" t="n">
        <v>9</v>
      </c>
      <c r="V113" s="36" t="n">
        <v>1</v>
      </c>
      <c r="W113" s="36" t="inlineStr">
        <is>
          <t>None</t>
        </is>
      </c>
      <c r="X113" s="36" t="inlineStr">
        <is>
          <t>Outdoor</t>
        </is>
      </c>
      <c r="Y113" s="36" t="inlineStr">
        <is>
          <t>No</t>
        </is>
      </c>
      <c r="Z113" s="36" t="inlineStr">
        <is>
          <t>High</t>
        </is>
      </c>
      <c r="AA113" s="36" t="inlineStr">
        <is>
          <t>8–25</t>
        </is>
      </c>
      <c r="AB113" s="36" t="inlineStr">
        <is>
          <t>Low</t>
        </is>
      </c>
      <c r="AC113" s="36" t="n">
        <v>4</v>
      </c>
      <c r="AD113" s="36" t="inlineStr">
        <is>
          <t>No</t>
        </is>
      </c>
      <c r="AE113" s="36" t="inlineStr"/>
      <c r="AF113" s="36" t="inlineStr">
        <is>
          <t>Lighter drivers favoured. Neck/core for G-forces. Reaction time and race-craft are key.</t>
        </is>
      </c>
      <c r="AG113" s="36" t="inlineStr">
        <is>
          <t>M</t>
        </is>
      </c>
    </row>
    <row r="114">
      <c r="A114" t="inlineStr">
        <is>
          <t>SP66</t>
        </is>
      </c>
      <c r="B114" t="inlineStr">
        <is>
          <t>Golf</t>
        </is>
      </c>
      <c r="C114" t="inlineStr">
        <is>
          <t>Competitive (all)</t>
        </is>
      </c>
      <c r="D114" t="inlineStr">
        <is>
          <t>Individual technical</t>
        </is>
      </c>
      <c r="E114" t="n">
        <v>183</v>
      </c>
      <c r="F114" t="n">
        <v>6</v>
      </c>
      <c r="G114" t="n">
        <v>87</v>
      </c>
      <c r="H114" t="n">
        <v>8</v>
      </c>
      <c r="I114" t="n">
        <v>26</v>
      </c>
      <c r="J114" t="n">
        <v>13</v>
      </c>
      <c r="M114" t="n">
        <v>3</v>
      </c>
      <c r="N114" t="n">
        <v>3</v>
      </c>
      <c r="O114" t="n">
        <v>5</v>
      </c>
      <c r="P114" t="n">
        <v>7</v>
      </c>
      <c r="Q114" t="n">
        <v>2</v>
      </c>
      <c r="R114" t="n">
        <v>4</v>
      </c>
      <c r="S114" t="n">
        <v>7</v>
      </c>
      <c r="T114" t="n">
        <v>9</v>
      </c>
      <c r="U114" t="n">
        <v>5</v>
      </c>
      <c r="V114" t="n">
        <v>1</v>
      </c>
      <c r="W114" t="inlineStr">
        <is>
          <t>None</t>
        </is>
      </c>
      <c r="X114" t="inlineStr">
        <is>
          <t>Outdoor</t>
        </is>
      </c>
      <c r="Y114" t="inlineStr">
        <is>
          <t>No</t>
        </is>
      </c>
      <c r="Z114" t="inlineStr">
        <is>
          <t>High</t>
        </is>
      </c>
      <c r="AA114" t="inlineStr">
        <is>
          <t>8–16</t>
        </is>
      </c>
      <c r="AB114" t="inlineStr">
        <is>
          <t>Low</t>
        </is>
      </c>
      <c r="AC114" t="n">
        <v>9</v>
      </c>
      <c r="AD114" t="inlineStr">
        <is>
          <t>Yes</t>
        </is>
      </c>
      <c r="AE114" t="inlineStr">
        <is>
          <t>PGA Tour, European Tour</t>
        </is>
      </c>
      <c r="AF114" t="inlineStr">
        <is>
          <t>PGA Tour player composite; rotational power through the kinetic chain is the primary physical determinant, not brute strength.</t>
        </is>
      </c>
      <c r="AG114" t="inlineStr">
        <is>
          <t>M</t>
        </is>
      </c>
    </row>
    <row r="115">
      <c r="A115" t="inlineStr">
        <is>
          <t>SP67</t>
        </is>
      </c>
      <c r="B115" t="inlineStr">
        <is>
          <t>Equestrian</t>
        </is>
      </c>
      <c r="C115" t="inlineStr">
        <is>
          <t>Show jumping (male/mixed)</t>
        </is>
      </c>
      <c r="D115" t="inlineStr">
        <is>
          <t>Individual technical</t>
        </is>
      </c>
      <c r="E115" t="n">
        <v>170</v>
      </c>
      <c r="F115" t="n">
        <v>8</v>
      </c>
      <c r="G115" t="n">
        <v>64</v>
      </c>
      <c r="H115" t="n">
        <v>7</v>
      </c>
      <c r="I115" t="n">
        <v>22.1</v>
      </c>
      <c r="J115" t="n">
        <v>14</v>
      </c>
      <c r="M115" t="n">
        <v>5</v>
      </c>
      <c r="N115" t="n">
        <v>4</v>
      </c>
      <c r="O115" t="n">
        <v>5</v>
      </c>
      <c r="P115" t="n">
        <v>4</v>
      </c>
      <c r="Q115" t="n">
        <v>2</v>
      </c>
      <c r="R115" t="n">
        <v>6</v>
      </c>
      <c r="S115" t="n">
        <v>6</v>
      </c>
      <c r="T115" t="n">
        <v>9</v>
      </c>
      <c r="U115" t="n">
        <v>8</v>
      </c>
      <c r="V115" t="n">
        <v>1</v>
      </c>
      <c r="W115" t="inlineStr">
        <is>
          <t>None</t>
        </is>
      </c>
      <c r="X115" t="inlineStr">
        <is>
          <t>Outdoor</t>
        </is>
      </c>
      <c r="Y115" t="inlineStr">
        <is>
          <t>No</t>
        </is>
      </c>
      <c r="Z115" t="inlineStr">
        <is>
          <t>High</t>
        </is>
      </c>
      <c r="AA115" t="inlineStr">
        <is>
          <t>6–14</t>
        </is>
      </c>
      <c r="AB115" t="inlineStr">
        <is>
          <t>High</t>
        </is>
      </c>
      <c r="AC115" t="n">
        <v>8</v>
      </c>
      <c r="AD115" t="inlineStr">
        <is>
          <t>Yes</t>
        </is>
      </c>
      <c r="AE115" t="inlineStr">
        <is>
          <t>FEI World ranking athlete data</t>
        </is>
      </c>
      <c r="AF115" t="inlineStr">
        <is>
          <t>Elite show jumping riders average ~170 cm / 64 kg; lighter riders preferred for horse performance. High injury risk from falls despite no opponent contact.</t>
        </is>
      </c>
      <c r="AG115" t="inlineStr">
        <is>
          <t>M</t>
        </is>
      </c>
    </row>
    <row r="116">
      <c r="A116" t="inlineStr">
        <is>
          <t>SP68</t>
        </is>
      </c>
      <c r="B116" t="inlineStr">
        <is>
          <t>Cricket</t>
        </is>
      </c>
      <c r="C116" t="inlineStr">
        <is>
          <t>All-rounder (male)</t>
        </is>
      </c>
      <c r="D116" t="inlineStr">
        <is>
          <t>Team field</t>
        </is>
      </c>
      <c r="E116" t="n">
        <v>180</v>
      </c>
      <c r="F116" t="n">
        <v>6</v>
      </c>
      <c r="G116" t="n">
        <v>79</v>
      </c>
      <c r="H116" t="n">
        <v>8</v>
      </c>
      <c r="I116" t="n">
        <v>24.4</v>
      </c>
      <c r="J116" t="n">
        <v>15</v>
      </c>
      <c r="M116" t="n">
        <v>5</v>
      </c>
      <c r="N116" t="n">
        <v>7</v>
      </c>
      <c r="O116" t="n">
        <v>5</v>
      </c>
      <c r="P116" t="n">
        <v>7</v>
      </c>
      <c r="Q116" t="n">
        <v>6</v>
      </c>
      <c r="R116" t="n">
        <v>5</v>
      </c>
      <c r="S116" t="n">
        <v>5</v>
      </c>
      <c r="T116" t="n">
        <v>8</v>
      </c>
      <c r="U116" t="n">
        <v>8</v>
      </c>
      <c r="V116" t="n">
        <v>11</v>
      </c>
      <c r="W116" t="inlineStr">
        <is>
          <t>None</t>
        </is>
      </c>
      <c r="X116" t="inlineStr">
        <is>
          <t>Outdoor</t>
        </is>
      </c>
      <c r="Y116" t="inlineStr">
        <is>
          <t>No</t>
        </is>
      </c>
      <c r="Z116" t="inlineStr">
        <is>
          <t>Medium</t>
        </is>
      </c>
      <c r="AA116" t="inlineStr">
        <is>
          <t>8–14</t>
        </is>
      </c>
      <c r="AB116" t="inlineStr">
        <is>
          <t>Medium</t>
        </is>
      </c>
      <c r="AC116" t="n">
        <v>6</v>
      </c>
      <c r="AD116" t="inlineStr">
        <is>
          <t>Yes</t>
        </is>
      </c>
      <c r="AE116" t="inlineStr">
        <is>
          <t>ICC international player database</t>
        </is>
      </c>
      <c r="AF116" t="inlineStr">
        <is>
          <t>International cricketer composite all-rounder profile. Fast bowlers typically taller/heavier; batters and spinners lean lighter.</t>
        </is>
      </c>
      <c r="AG116" t="inlineStr">
        <is>
          <t>M</t>
        </is>
      </c>
    </row>
    <row r="117">
      <c r="A117" t="inlineStr">
        <is>
          <t>SP69</t>
        </is>
      </c>
      <c r="B117" t="inlineStr">
        <is>
          <t>Archery</t>
        </is>
      </c>
      <c r="C117" t="inlineStr">
        <is>
          <t>Recurve / compound (male)</t>
        </is>
      </c>
      <c r="D117" t="inlineStr">
        <is>
          <t>Individual technical</t>
        </is>
      </c>
      <c r="E117" t="n">
        <v>175</v>
      </c>
      <c r="F117" t="n">
        <v>8</v>
      </c>
      <c r="G117" t="n">
        <v>74</v>
      </c>
      <c r="H117" t="n">
        <v>9</v>
      </c>
      <c r="I117" t="n">
        <v>24.2</v>
      </c>
      <c r="J117" t="n">
        <v>17</v>
      </c>
      <c r="M117" t="n">
        <v>2</v>
      </c>
      <c r="N117" t="n">
        <v>2</v>
      </c>
      <c r="O117" t="n">
        <v>6</v>
      </c>
      <c r="P117" t="n">
        <v>3</v>
      </c>
      <c r="Q117" t="n">
        <v>1</v>
      </c>
      <c r="R117" t="n">
        <v>5</v>
      </c>
      <c r="S117" t="n">
        <v>5</v>
      </c>
      <c r="T117" t="n">
        <v>9</v>
      </c>
      <c r="U117" t="n">
        <v>6</v>
      </c>
      <c r="V117" t="n">
        <v>1</v>
      </c>
      <c r="W117" t="inlineStr">
        <is>
          <t>None</t>
        </is>
      </c>
      <c r="X117" t="inlineStr">
        <is>
          <t>Both</t>
        </is>
      </c>
      <c r="Y117" t="inlineStr">
        <is>
          <t>No</t>
        </is>
      </c>
      <c r="Z117" t="inlineStr">
        <is>
          <t>Medium</t>
        </is>
      </c>
      <c r="AA117" t="inlineStr">
        <is>
          <t>10–16</t>
        </is>
      </c>
      <c r="AB117" t="inlineStr">
        <is>
          <t>Low</t>
        </is>
      </c>
      <c r="AC117" t="n">
        <v>4</v>
      </c>
      <c r="AD117" t="inlineStr">
        <is>
          <t>No</t>
        </is>
      </c>
      <c r="AE117" t="inlineStr">
        <is>
          <t>World Archery athlete profiles</t>
        </is>
      </c>
      <c r="AF117" t="inlineStr">
        <is>
          <t>Physical profile is broad — technique, mental focus, and draw-side upper body endurance dominate over body type.</t>
        </is>
      </c>
      <c r="AG117" t="inlineStr">
        <is>
          <t>M</t>
        </is>
      </c>
    </row>
    <row r="118">
      <c r="A118" t="inlineStr">
        <is>
          <t>SP70</t>
        </is>
      </c>
      <c r="B118" t="inlineStr">
        <is>
          <t>Sport shooting</t>
        </is>
      </c>
      <c r="C118" t="inlineStr">
        <is>
          <t>Pistol / rifle (male)</t>
        </is>
      </c>
      <c r="D118" t="inlineStr">
        <is>
          <t>Individual technical</t>
        </is>
      </c>
      <c r="E118" t="n">
        <v>175</v>
      </c>
      <c r="F118" t="n">
        <v>10</v>
      </c>
      <c r="G118" t="n">
        <v>78</v>
      </c>
      <c r="H118" t="n">
        <v>12</v>
      </c>
      <c r="I118" t="n">
        <v>25.5</v>
      </c>
      <c r="J118" t="n">
        <v>19</v>
      </c>
      <c r="M118" t="n">
        <v>1</v>
      </c>
      <c r="N118" t="n">
        <v>1</v>
      </c>
      <c r="O118" t="n">
        <v>2</v>
      </c>
      <c r="P118" t="n">
        <v>1</v>
      </c>
      <c r="Q118" t="n">
        <v>1</v>
      </c>
      <c r="R118" t="n">
        <v>3</v>
      </c>
      <c r="S118" t="n">
        <v>3</v>
      </c>
      <c r="T118" t="n">
        <v>9</v>
      </c>
      <c r="U118" t="n">
        <v>8</v>
      </c>
      <c r="V118" t="n">
        <v>1</v>
      </c>
      <c r="W118" t="inlineStr">
        <is>
          <t>None</t>
        </is>
      </c>
      <c r="X118" t="inlineStr">
        <is>
          <t>Both</t>
        </is>
      </c>
      <c r="Y118" t="inlineStr">
        <is>
          <t>No</t>
        </is>
      </c>
      <c r="Z118" t="inlineStr">
        <is>
          <t>Medium</t>
        </is>
      </c>
      <c r="AA118" t="inlineStr">
        <is>
          <t>14–25</t>
        </is>
      </c>
      <c r="AB118" t="inlineStr">
        <is>
          <t>Low</t>
        </is>
      </c>
      <c r="AC118" t="n">
        <v>3</v>
      </c>
      <c r="AD118" t="inlineStr">
        <is>
          <t>No</t>
        </is>
      </c>
      <c r="AE118" t="inlineStr">
        <is>
          <t>ISSF World Cup athlete profiles</t>
        </is>
      </c>
      <c r="AF118" t="inlineStr">
        <is>
          <t>Almost no physical filter — sport is decided by fine motor control, breath control, and mental composure under pressure.</t>
        </is>
      </c>
      <c r="AG118" t="inlineStr">
        <is>
          <t>M</t>
        </is>
      </c>
    </row>
    <row r="119">
      <c r="A119" t="inlineStr">
        <is>
          <t>SP71</t>
        </is>
      </c>
      <c r="B119" t="inlineStr">
        <is>
          <t>Darts</t>
        </is>
      </c>
      <c r="C119" t="inlineStr">
        <is>
          <t>Professional (male)</t>
        </is>
      </c>
      <c r="D119" t="inlineStr">
        <is>
          <t>Individual technical</t>
        </is>
      </c>
      <c r="E119" t="n">
        <v>175</v>
      </c>
      <c r="F119" t="n">
        <v>12</v>
      </c>
      <c r="G119" t="n">
        <v>82</v>
      </c>
      <c r="H119" t="n">
        <v>15</v>
      </c>
      <c r="I119" t="n">
        <v>26.8</v>
      </c>
      <c r="J119" t="n">
        <v>22</v>
      </c>
      <c r="M119" t="n">
        <v>1</v>
      </c>
      <c r="N119" t="n">
        <v>1</v>
      </c>
      <c r="O119" t="n">
        <v>1</v>
      </c>
      <c r="P119" t="n">
        <v>2</v>
      </c>
      <c r="Q119" t="n">
        <v>1</v>
      </c>
      <c r="R119" t="n">
        <v>2</v>
      </c>
      <c r="S119" t="n">
        <v>3</v>
      </c>
      <c r="T119" t="n">
        <v>9</v>
      </c>
      <c r="U119" t="n">
        <v>7</v>
      </c>
      <c r="V119" t="n">
        <v>1</v>
      </c>
      <c r="W119" t="inlineStr">
        <is>
          <t>None</t>
        </is>
      </c>
      <c r="X119" t="inlineStr">
        <is>
          <t>Indoor</t>
        </is>
      </c>
      <c r="Y119" t="inlineStr">
        <is>
          <t>No</t>
        </is>
      </c>
      <c r="Z119" t="inlineStr">
        <is>
          <t>Low</t>
        </is>
      </c>
      <c r="AA119" t="inlineStr">
        <is>
          <t>14–30</t>
        </is>
      </c>
      <c r="AB119" t="inlineStr">
        <is>
          <t>Low</t>
        </is>
      </c>
      <c r="AC119" t="n">
        <v>8</v>
      </c>
      <c r="AD119" t="inlineStr">
        <is>
          <t>Yes</t>
        </is>
      </c>
      <c r="AE119" t="inlineStr">
        <is>
          <t>PDC player statistics</t>
        </is>
      </c>
      <c r="AF119" t="inlineStr">
        <is>
          <t>Physical profile is near-irrelevant; fine motor precision, mental arithmetic, and composure under crowd pressure determine elite performance.</t>
        </is>
      </c>
      <c r="AG119" t="inlineStr">
        <is>
          <t>M</t>
        </is>
      </c>
    </row>
    <row r="120">
      <c r="A120" t="inlineStr">
        <is>
          <t>SP72</t>
        </is>
      </c>
      <c r="B120" t="inlineStr">
        <is>
          <t>Lawn bowls</t>
        </is>
      </c>
      <c r="C120" t="inlineStr">
        <is>
          <t>Competitive (male)</t>
        </is>
      </c>
      <c r="D120" t="inlineStr">
        <is>
          <t>Team precision</t>
        </is>
      </c>
      <c r="E120" t="n">
        <v>175</v>
      </c>
      <c r="F120" t="n">
        <v>10</v>
      </c>
      <c r="G120" t="n">
        <v>80</v>
      </c>
      <c r="H120" t="n">
        <v>12</v>
      </c>
      <c r="I120" t="n">
        <v>26.1</v>
      </c>
      <c r="J120" t="n">
        <v>21</v>
      </c>
      <c r="M120" t="n">
        <v>2</v>
      </c>
      <c r="N120" t="n">
        <v>1</v>
      </c>
      <c r="O120" t="n">
        <v>2</v>
      </c>
      <c r="P120" t="n">
        <v>3</v>
      </c>
      <c r="Q120" t="n">
        <v>1</v>
      </c>
      <c r="R120" t="n">
        <v>3</v>
      </c>
      <c r="S120" t="n">
        <v>5</v>
      </c>
      <c r="T120" t="n">
        <v>9</v>
      </c>
      <c r="U120" t="n">
        <v>4</v>
      </c>
      <c r="V120" t="n">
        <v>4</v>
      </c>
      <c r="W120" t="inlineStr">
        <is>
          <t>None</t>
        </is>
      </c>
      <c r="X120" t="inlineStr">
        <is>
          <t>Outdoor</t>
        </is>
      </c>
      <c r="Y120" t="inlineStr">
        <is>
          <t>No</t>
        </is>
      </c>
      <c r="Z120" t="inlineStr">
        <is>
          <t>Low</t>
        </is>
      </c>
      <c r="AA120" t="inlineStr">
        <is>
          <t>16+</t>
        </is>
      </c>
      <c r="AB120" t="inlineStr">
        <is>
          <t>Low</t>
        </is>
      </c>
      <c r="AC120" t="n">
        <v>6</v>
      </c>
      <c r="AD120" t="inlineStr">
        <is>
          <t>Yes</t>
        </is>
      </c>
      <c r="AE120" t="inlineStr">
        <is>
          <t>Bowls Ireland club data</t>
        </is>
      </c>
      <c r="AF120" t="inlineStr">
        <is>
          <t>Very broad physical profile; tactical reading of the head and fine motor precision are the primary performance drivers. Accessible late-start sport.</t>
        </is>
      </c>
      <c r="AG120" t="inlineStr">
        <is>
          <t>M</t>
        </is>
      </c>
    </row>
    <row r="121">
      <c r="A121" t="inlineStr">
        <is>
          <t>SP73</t>
        </is>
      </c>
      <c r="B121" t="inlineStr">
        <is>
          <t>Gymnastics (Artistic)</t>
        </is>
      </c>
      <c r="C121" t="inlineStr">
        <is>
          <t>Male senior elite</t>
        </is>
      </c>
      <c r="D121" t="inlineStr">
        <is>
          <t>Individual aesthetic</t>
        </is>
      </c>
      <c r="E121" t="n">
        <v>167</v>
      </c>
      <c r="F121" t="n">
        <v>5</v>
      </c>
      <c r="G121" t="n">
        <v>69</v>
      </c>
      <c r="H121" t="n">
        <v>6</v>
      </c>
      <c r="I121" t="n">
        <v>24.7</v>
      </c>
      <c r="J121" t="n">
        <v>6</v>
      </c>
      <c r="M121" t="n">
        <v>5</v>
      </c>
      <c r="N121" t="n">
        <v>8</v>
      </c>
      <c r="O121" t="n">
        <v>10</v>
      </c>
      <c r="P121" t="n">
        <v>9</v>
      </c>
      <c r="Q121" t="n">
        <v>4</v>
      </c>
      <c r="R121" t="n">
        <v>5</v>
      </c>
      <c r="S121" t="n">
        <v>9</v>
      </c>
      <c r="T121" t="n">
        <v>10</v>
      </c>
      <c r="U121" t="n">
        <v>8</v>
      </c>
      <c r="V121" t="n">
        <v>1</v>
      </c>
      <c r="W121" t="inlineStr">
        <is>
          <t>None</t>
        </is>
      </c>
      <c r="X121" t="inlineStr">
        <is>
          <t>Indoor</t>
        </is>
      </c>
      <c r="Y121" t="inlineStr">
        <is>
          <t>No</t>
        </is>
      </c>
      <c r="Z121" t="inlineStr">
        <is>
          <t>Medium</t>
        </is>
      </c>
      <c r="AA121" t="inlineStr">
        <is>
          <t>4–8</t>
        </is>
      </c>
      <c r="AB121" t="inlineStr">
        <is>
          <t>Medium</t>
        </is>
      </c>
      <c r="AC121" t="n">
        <v>3</v>
      </c>
      <c r="AD121" t="inlineStr">
        <is>
          <t>No</t>
        </is>
      </c>
      <c r="AE121" t="inlineStr">
        <is>
          <t>FIG World Championship athlete data</t>
        </is>
      </c>
      <c r="AF121" t="inlineStr">
        <is>
          <t>Elite male gymnasts are among the strongest athletes relative to bodyweight in any sport — rings, parallel bars, and floor require extraordinary absolute strength in a compact frame.</t>
        </is>
      </c>
      <c r="AG121" t="inlineStr">
        <is>
          <t>M</t>
        </is>
      </c>
    </row>
    <row r="122">
      <c r="A122" t="inlineStr">
        <is>
          <t>SP74</t>
        </is>
      </c>
      <c r="B122" t="inlineStr">
        <is>
          <t>Karate</t>
        </is>
      </c>
      <c r="C122" t="inlineStr">
        <is>
          <t>Kumite (male elite)</t>
        </is>
      </c>
      <c r="D122" t="inlineStr">
        <is>
          <t>Combat striking</t>
        </is>
      </c>
      <c r="E122" t="n">
        <v>175</v>
      </c>
      <c r="F122" t="n">
        <v>6</v>
      </c>
      <c r="G122" t="n">
        <v>74</v>
      </c>
      <c r="H122" t="n">
        <v>7</v>
      </c>
      <c r="I122" t="n">
        <v>24.2</v>
      </c>
      <c r="J122" t="n">
        <v>10</v>
      </c>
      <c r="M122" t="n">
        <v>6</v>
      </c>
      <c r="N122" t="n">
        <v>8</v>
      </c>
      <c r="O122" t="n">
        <v>5</v>
      </c>
      <c r="P122" t="n">
        <v>8</v>
      </c>
      <c r="Q122" t="n">
        <v>8</v>
      </c>
      <c r="R122" t="n">
        <v>5</v>
      </c>
      <c r="S122" t="n">
        <v>7</v>
      </c>
      <c r="T122" t="n">
        <v>9</v>
      </c>
      <c r="U122" t="n">
        <v>9</v>
      </c>
      <c r="V122" t="n">
        <v>1</v>
      </c>
      <c r="W122" t="inlineStr">
        <is>
          <t>Light</t>
        </is>
      </c>
      <c r="X122" t="inlineStr">
        <is>
          <t>Indoor</t>
        </is>
      </c>
      <c r="Y122" t="inlineStr">
        <is>
          <t>No</t>
        </is>
      </c>
      <c r="Z122" t="inlineStr">
        <is>
          <t>Low</t>
        </is>
      </c>
      <c r="AA122" t="inlineStr">
        <is>
          <t>6–12</t>
        </is>
      </c>
      <c r="AB122" t="inlineStr">
        <is>
          <t>Low</t>
        </is>
      </c>
      <c r="AC122" t="n">
        <v>5</v>
      </c>
      <c r="AD122" t="inlineStr">
        <is>
          <t>Yes</t>
        </is>
      </c>
      <c r="AE122" t="inlineStr">
        <is>
          <t>WKF World Championship data</t>
        </is>
      </c>
      <c r="AF122" t="inlineStr">
        <is>
          <t>Olympic karate kumite elite composite; contact is controlled and point-scoring — lower injury risk than full-contact striking despite high intensity.</t>
        </is>
      </c>
      <c r="AG122" t="inlineStr">
        <is>
          <t>M</t>
        </is>
      </c>
    </row>
    <row r="123">
      <c r="A123" t="inlineStr">
        <is>
          <t>SP75</t>
        </is>
      </c>
      <c r="B123" t="inlineStr">
        <is>
          <t>Muay Thai</t>
        </is>
      </c>
      <c r="C123" t="inlineStr">
        <is>
          <t>Professional (light–welterweight)</t>
        </is>
      </c>
      <c r="D123" t="inlineStr">
        <is>
          <t>Combat striking</t>
        </is>
      </c>
      <c r="E123" t="n">
        <v>172</v>
      </c>
      <c r="F123" t="n">
        <v>6</v>
      </c>
      <c r="G123" t="n">
        <v>68</v>
      </c>
      <c r="H123" t="n">
        <v>7</v>
      </c>
      <c r="I123" t="n">
        <v>23</v>
      </c>
      <c r="J123" t="n">
        <v>10</v>
      </c>
      <c r="M123" t="n">
        <v>8</v>
      </c>
      <c r="N123" t="n">
        <v>8</v>
      </c>
      <c r="O123" t="n">
        <v>5</v>
      </c>
      <c r="P123" t="n">
        <v>8</v>
      </c>
      <c r="Q123" t="n">
        <v>7</v>
      </c>
      <c r="R123" t="n">
        <v>7</v>
      </c>
      <c r="S123" t="n">
        <v>6</v>
      </c>
      <c r="T123" t="n">
        <v>8</v>
      </c>
      <c r="U123" t="n">
        <v>8</v>
      </c>
      <c r="V123" t="n">
        <v>1</v>
      </c>
      <c r="W123" t="inlineStr">
        <is>
          <t>Heavy</t>
        </is>
      </c>
      <c r="X123" t="inlineStr">
        <is>
          <t>Indoor</t>
        </is>
      </c>
      <c r="Y123" t="inlineStr">
        <is>
          <t>No</t>
        </is>
      </c>
      <c r="Z123" t="inlineStr">
        <is>
          <t>Low</t>
        </is>
      </c>
      <c r="AA123" t="inlineStr">
        <is>
          <t>10–18</t>
        </is>
      </c>
      <c r="AB123" t="inlineStr">
        <is>
          <t>High</t>
        </is>
      </c>
      <c r="AC123" t="n">
        <v>6</v>
      </c>
      <c r="AD123" t="inlineStr">
        <is>
          <t>Yes</t>
        </is>
      </c>
      <c r="AE123" t="inlineStr">
        <is>
          <t>WBC Muay Thai / ONE Championship athlete data</t>
        </is>
      </c>
      <c r="AF123" t="inlineStr">
        <is>
          <t>Professional Muay Thai composite at lighter weight classes; eight-limb striking demands the highest aerobic endurance of any striking art.</t>
        </is>
      </c>
      <c r="AG123" t="inlineStr">
        <is>
          <t>M</t>
        </is>
      </c>
    </row>
    <row r="124">
      <c r="A124" t="inlineStr">
        <is>
          <t>SP01F</t>
        </is>
      </c>
      <c r="B124" t="inlineStr">
        <is>
          <t>Soccer (football)</t>
        </is>
      </c>
      <c r="C124" t="inlineStr">
        <is>
          <t>Outfield (all)</t>
        </is>
      </c>
      <c r="D124" t="inlineStr">
        <is>
          <t>Team field</t>
        </is>
      </c>
      <c r="E124" t="n">
        <v>166</v>
      </c>
      <c r="F124" t="n">
        <v>5</v>
      </c>
      <c r="G124" t="n">
        <v>60</v>
      </c>
      <c r="H124" t="n">
        <v>6</v>
      </c>
      <c r="I124" t="n">
        <v>21.8</v>
      </c>
      <c r="J124" t="n">
        <v>18</v>
      </c>
      <c r="M124" t="n">
        <v>8</v>
      </c>
      <c r="N124" t="n">
        <v>7</v>
      </c>
      <c r="O124" t="n">
        <v>5</v>
      </c>
      <c r="P124" t="n">
        <v>7</v>
      </c>
      <c r="Q124" t="n">
        <v>8</v>
      </c>
      <c r="R124" t="n">
        <v>8</v>
      </c>
      <c r="S124" t="n">
        <v>5</v>
      </c>
      <c r="T124" t="n">
        <v>8</v>
      </c>
      <c r="U124" t="n">
        <v>7</v>
      </c>
      <c r="V124" t="n">
        <v>11</v>
      </c>
      <c r="W124" t="inlineStr">
        <is>
          <t>Medium</t>
        </is>
      </c>
      <c r="X124" t="inlineStr">
        <is>
          <t>Outdoor</t>
        </is>
      </c>
      <c r="Y124" t="inlineStr">
        <is>
          <t>No</t>
        </is>
      </c>
      <c r="Z124" t="inlineStr">
        <is>
          <t>Low</t>
        </is>
      </c>
      <c r="AA124" t="inlineStr">
        <is>
          <t>5–8</t>
        </is>
      </c>
      <c r="AB124" t="inlineStr">
        <is>
          <t>Medium</t>
        </is>
      </c>
      <c r="AC124" t="n">
        <v>9</v>
      </c>
      <c r="AD124" t="inlineStr">
        <is>
          <t>Yes</t>
        </is>
      </c>
      <c r="AE124" t="inlineStr">
        <is>
          <t>Datson N et al. (2017) J Strength Cond Res; Andersson H et al. (2010) Int J Sports Physiol Perform.</t>
        </is>
      </c>
      <c r="AF124" t="inlineStr">
        <is>
          <t>Elite female outfield players 165–167 cm / 58–63 kg (Datson et al. 2017 NWSL/WSL; Andersson et al. 2010 Champions League). Applied sex differentials for derivation.</t>
        </is>
      </c>
      <c r="AG124" t="inlineStr">
        <is>
          <t>F</t>
        </is>
      </c>
    </row>
    <row r="125">
      <c r="A125" t="inlineStr">
        <is>
          <t>SP02F</t>
        </is>
      </c>
      <c r="B125" t="inlineStr">
        <is>
          <t>Basketball</t>
        </is>
      </c>
      <c r="C125" t="inlineStr">
        <is>
          <t>All positions (NBA mean)</t>
        </is>
      </c>
      <c r="D125" t="inlineStr">
        <is>
          <t>Team court</t>
        </is>
      </c>
      <c r="E125" t="n">
        <v>183</v>
      </c>
      <c r="F125" t="n">
        <v>7</v>
      </c>
      <c r="G125" t="n">
        <v>78</v>
      </c>
      <c r="H125" t="n">
        <v>9</v>
      </c>
      <c r="I125" t="n">
        <v>23.3</v>
      </c>
      <c r="J125" t="n">
        <v>18</v>
      </c>
      <c r="K125" t="n">
        <v>1.06</v>
      </c>
      <c r="M125" t="n">
        <v>7</v>
      </c>
      <c r="N125" t="n">
        <v>8</v>
      </c>
      <c r="O125" t="n">
        <v>6</v>
      </c>
      <c r="P125" t="n">
        <v>9</v>
      </c>
      <c r="Q125" t="n">
        <v>8</v>
      </c>
      <c r="R125" t="n">
        <v>7</v>
      </c>
      <c r="S125" t="n">
        <v>5</v>
      </c>
      <c r="T125" t="n">
        <v>8</v>
      </c>
      <c r="U125" t="n">
        <v>8</v>
      </c>
      <c r="V125" t="n">
        <v>5</v>
      </c>
      <c r="W125" t="inlineStr">
        <is>
          <t>Low</t>
        </is>
      </c>
      <c r="X125" t="inlineStr">
        <is>
          <t>Indoor</t>
        </is>
      </c>
      <c r="Y125" t="inlineStr">
        <is>
          <t>No</t>
        </is>
      </c>
      <c r="Z125" t="inlineStr">
        <is>
          <t>Low</t>
        </is>
      </c>
      <c r="AA125" t="inlineStr">
        <is>
          <t>6–10</t>
        </is>
      </c>
      <c r="AB125" t="inlineStr">
        <is>
          <t>Medium</t>
        </is>
      </c>
      <c r="AC125" t="n">
        <v>5</v>
      </c>
      <c r="AD125" t="inlineStr">
        <is>
          <t>Yes</t>
        </is>
      </c>
      <c r="AE125" t="inlineStr">
        <is>
          <t>Torres-Unda J et al. (2013) J Hum Kinet; WNBA Draft Combine data.</t>
        </is>
      </c>
      <c r="AF125" t="inlineStr">
        <is>
          <t>WNBA combine: mean 183 cm, 77–80 kg (Torres-Unda et al. 2013). Lighter than simple scaling predicts due to position spread.</t>
        </is>
      </c>
      <c r="AG125" t="inlineStr">
        <is>
          <t>F</t>
        </is>
      </c>
    </row>
    <row r="126">
      <c r="A126" t="inlineStr">
        <is>
          <t>SP04F</t>
        </is>
      </c>
      <c r="B126" t="inlineStr">
        <is>
          <t>Road cycling</t>
        </is>
      </c>
      <c r="C126" t="inlineStr">
        <is>
          <t>Grand Tour all-rounder</t>
        </is>
      </c>
      <c r="D126" t="inlineStr">
        <is>
          <t>Endurance individual</t>
        </is>
      </c>
      <c r="E126" t="n">
        <v>169</v>
      </c>
      <c r="F126" t="n">
        <v>5</v>
      </c>
      <c r="G126" t="n">
        <v>57</v>
      </c>
      <c r="H126" t="n">
        <v>5</v>
      </c>
      <c r="I126" t="n">
        <v>20</v>
      </c>
      <c r="J126" t="n">
        <v>15</v>
      </c>
      <c r="M126" t="n">
        <v>10</v>
      </c>
      <c r="N126" t="n">
        <v>6</v>
      </c>
      <c r="O126" t="n">
        <v>5</v>
      </c>
      <c r="P126" t="n">
        <v>7</v>
      </c>
      <c r="Q126" t="n">
        <v>6</v>
      </c>
      <c r="R126" t="n">
        <v>10</v>
      </c>
      <c r="S126" t="n">
        <v>4</v>
      </c>
      <c r="T126" t="n">
        <v>6</v>
      </c>
      <c r="U126" t="n">
        <v>5</v>
      </c>
      <c r="V126" t="n">
        <v>1</v>
      </c>
      <c r="W126" t="inlineStr">
        <is>
          <t>None</t>
        </is>
      </c>
      <c r="X126" t="inlineStr">
        <is>
          <t>Outdoor</t>
        </is>
      </c>
      <c r="Y126" t="inlineStr">
        <is>
          <t>No</t>
        </is>
      </c>
      <c r="Z126" t="inlineStr">
        <is>
          <t>High</t>
        </is>
      </c>
      <c r="AA126" t="inlineStr">
        <is>
          <t>Any</t>
        </is>
      </c>
      <c r="AB126" t="inlineStr">
        <is>
          <t>Medium</t>
        </is>
      </c>
      <c r="AC126" t="n">
        <v>8</v>
      </c>
      <c r="AD126" t="inlineStr">
        <is>
          <t>Yes</t>
        </is>
      </c>
      <c r="AE126" t="inlineStr">
        <is>
          <t>Lucia A et al. (2001) Med Sci Sports Exerc; UCI Women WorldTour physiological data.</t>
        </is>
      </c>
      <c r="AF126" t="inlineStr">
        <is>
          <t>UCI Women WorldTour athletes among leanest in sport; VO2max ~65 ml/kg/min. Lighter and shorter than simple scaling predicts.</t>
        </is>
      </c>
      <c r="AG126" t="inlineStr">
        <is>
          <t>F</t>
        </is>
      </c>
    </row>
    <row r="127">
      <c r="A127" t="inlineStr">
        <is>
          <t>SP06F</t>
        </is>
      </c>
      <c r="B127" t="inlineStr">
        <is>
          <t>Rugby union</t>
        </is>
      </c>
      <c r="C127" t="inlineStr">
        <is>
          <t>Forwards (female)</t>
        </is>
      </c>
      <c r="D127" t="inlineStr">
        <is>
          <t>Team field contact</t>
        </is>
      </c>
      <c r="E127" t="n">
        <v>170</v>
      </c>
      <c r="F127" t="n">
        <v>5</v>
      </c>
      <c r="G127" t="n">
        <v>72</v>
      </c>
      <c r="H127" t="n">
        <v>8</v>
      </c>
      <c r="I127" t="n">
        <v>24.9</v>
      </c>
      <c r="J127" t="n">
        <v>23</v>
      </c>
      <c r="M127" t="n">
        <v>6</v>
      </c>
      <c r="N127" t="n">
        <v>8</v>
      </c>
      <c r="O127" t="n">
        <v>10</v>
      </c>
      <c r="P127" t="n">
        <v>8</v>
      </c>
      <c r="Q127" t="n">
        <v>5</v>
      </c>
      <c r="R127" t="n">
        <v>6</v>
      </c>
      <c r="S127" t="n">
        <v>4</v>
      </c>
      <c r="T127" t="n">
        <v>7</v>
      </c>
      <c r="U127" t="n">
        <v>6</v>
      </c>
      <c r="V127" t="n">
        <v>15</v>
      </c>
      <c r="W127" t="inlineStr">
        <is>
          <t>Heavy</t>
        </is>
      </c>
      <c r="X127" t="inlineStr">
        <is>
          <t>Outdoor</t>
        </is>
      </c>
      <c r="Y127" t="inlineStr">
        <is>
          <t>No</t>
        </is>
      </c>
      <c r="Z127" t="inlineStr">
        <is>
          <t>Low</t>
        </is>
      </c>
      <c r="AA127" t="inlineStr">
        <is>
          <t>6–10</t>
        </is>
      </c>
      <c r="AB127" t="inlineStr">
        <is>
          <t>High</t>
        </is>
      </c>
      <c r="AC127" t="n">
        <v>8</v>
      </c>
      <c r="AD127" t="inlineStr">
        <is>
          <t>Yes</t>
        </is>
      </c>
      <c r="AE127" t="inlineStr">
        <is>
          <t>World Rugby physical data; Hollander K et al. (2019) BMJ Open Sport Exerc Med.</t>
        </is>
      </c>
      <c r="AF127" t="inlineStr">
        <is>
          <t>World Rugby female forwards: 168–173 cm, 68–76 kg. Heavier build for contact demands. Strong growth in women's rugby in Ireland (Interprovincial + AIL Women).</t>
        </is>
      </c>
      <c r="AG127" t="inlineStr">
        <is>
          <t>F</t>
        </is>
      </c>
    </row>
    <row r="128">
      <c r="A128" t="inlineStr">
        <is>
          <t>SP09F</t>
        </is>
      </c>
      <c r="B128" t="inlineStr">
        <is>
          <t>Tennis</t>
        </is>
      </c>
      <c r="C128" t="inlineStr">
        <is>
          <t>Singles (WTA)</t>
        </is>
      </c>
      <c r="D128" t="inlineStr">
        <is>
          <t>Individual racquet</t>
        </is>
      </c>
      <c r="E128" t="n">
        <v>175</v>
      </c>
      <c r="F128" t="n">
        <v>7</v>
      </c>
      <c r="G128" t="n">
        <v>64</v>
      </c>
      <c r="H128" t="n">
        <v>7</v>
      </c>
      <c r="I128" t="n">
        <v>20.9</v>
      </c>
      <c r="J128" t="n">
        <v>20</v>
      </c>
      <c r="M128" t="n">
        <v>8</v>
      </c>
      <c r="N128" t="n">
        <v>8</v>
      </c>
      <c r="O128" t="n">
        <v>6</v>
      </c>
      <c r="P128" t="n">
        <v>8</v>
      </c>
      <c r="Q128" t="n">
        <v>8</v>
      </c>
      <c r="R128" t="n">
        <v>8</v>
      </c>
      <c r="S128" t="n">
        <v>6</v>
      </c>
      <c r="T128" t="n">
        <v>9</v>
      </c>
      <c r="U128" t="n">
        <v>9</v>
      </c>
      <c r="V128" t="n">
        <v>1</v>
      </c>
      <c r="W128" t="inlineStr">
        <is>
          <t>None</t>
        </is>
      </c>
      <c r="X128" t="inlineStr">
        <is>
          <t>Outdoor / indoor</t>
        </is>
      </c>
      <c r="Y128" t="inlineStr">
        <is>
          <t>No</t>
        </is>
      </c>
      <c r="Z128" t="inlineStr">
        <is>
          <t>Medium</t>
        </is>
      </c>
      <c r="AA128" t="inlineStr">
        <is>
          <t>5–8</t>
        </is>
      </c>
      <c r="AB128" t="inlineStr">
        <is>
          <t>Medium</t>
        </is>
      </c>
      <c r="AC128" t="n">
        <v>8</v>
      </c>
      <c r="AD128" t="inlineStr">
        <is>
          <t>Yes</t>
        </is>
      </c>
      <c r="AE128" t="inlineStr">
        <is>
          <t>Pugh SF et al. (2022) Int J Sports Sci Coach; WTA official data.</t>
        </is>
      </c>
      <c r="AF128" t="inlineStr">
        <is>
          <t>WTA top-100 mean ~175 cm, 63–66 kg. Height advantage on serve increasingly pronounced. Pugh et al. (2022).</t>
        </is>
      </c>
      <c r="AG128" t="inlineStr">
        <is>
          <t>F</t>
        </is>
      </c>
    </row>
    <row r="129">
      <c r="A129" t="inlineStr">
        <is>
          <t>SP12F</t>
        </is>
      </c>
      <c r="B129" t="inlineStr">
        <is>
          <t>Sport climbing</t>
        </is>
      </c>
      <c r="C129" t="inlineStr">
        <is>
          <t>Lead / bouldering (female)</t>
        </is>
      </c>
      <c r="D129" t="inlineStr">
        <is>
          <t>Individual technical</t>
        </is>
      </c>
      <c r="E129" t="n">
        <v>163</v>
      </c>
      <c r="F129" t="n">
        <v>7</v>
      </c>
      <c r="G129" t="n">
        <v>51</v>
      </c>
      <c r="H129" t="n">
        <v>5</v>
      </c>
      <c r="I129" t="n">
        <v>19.2</v>
      </c>
      <c r="J129" t="n">
        <v>16</v>
      </c>
      <c r="K129" t="n">
        <v>1.01</v>
      </c>
      <c r="M129" t="n">
        <v>6</v>
      </c>
      <c r="N129" t="n">
        <v>7</v>
      </c>
      <c r="O129" t="n">
        <v>9</v>
      </c>
      <c r="P129" t="n">
        <v>8</v>
      </c>
      <c r="Q129" t="n">
        <v>4</v>
      </c>
      <c r="R129" t="n">
        <v>7</v>
      </c>
      <c r="S129" t="n">
        <v>9</v>
      </c>
      <c r="T129" t="n">
        <v>9</v>
      </c>
      <c r="U129" t="n">
        <v>7</v>
      </c>
      <c r="V129" t="n">
        <v>1</v>
      </c>
      <c r="W129" t="inlineStr">
        <is>
          <t>None</t>
        </is>
      </c>
      <c r="X129" t="inlineStr">
        <is>
          <t>Indoor / outdoor</t>
        </is>
      </c>
      <c r="Y129" t="inlineStr">
        <is>
          <t>No</t>
        </is>
      </c>
      <c r="Z129" t="inlineStr">
        <is>
          <t>Medium</t>
        </is>
      </c>
      <c r="AA129" t="inlineStr">
        <is>
          <t>Any</t>
        </is>
      </c>
      <c r="AB129" t="inlineStr">
        <is>
          <t>Medium</t>
        </is>
      </c>
      <c r="AC129" t="n">
        <v>7</v>
      </c>
      <c r="AD129" t="inlineStr">
        <is>
          <t>Yes</t>
        </is>
      </c>
      <c r="AE129" t="inlineStr">
        <is>
          <t>Giles D et al. (2014) J Hum Kinet; Watts PB et al. (2003) J Sports Med Phys Fitness.</t>
        </is>
      </c>
      <c r="AF129" t="inlineStr">
        <is>
          <t>Elite female climbers: extremely lean, slight positive ape index. Giles et al. (2014) bouldering/lead cohort.</t>
        </is>
      </c>
      <c r="AG129" t="inlineStr">
        <is>
          <t>F</t>
        </is>
      </c>
    </row>
    <row r="130">
      <c r="A130" t="inlineStr">
        <is>
          <t>SP14F</t>
        </is>
      </c>
      <c r="B130" t="inlineStr">
        <is>
          <t>MMA</t>
        </is>
      </c>
      <c r="C130" t="inlineStr">
        <is>
          <t>All disciplines (strawweight–flyweight, female)</t>
        </is>
      </c>
      <c r="D130" t="inlineStr">
        <is>
          <t>Combat mixed</t>
        </is>
      </c>
      <c r="E130" t="n">
        <v>160</v>
      </c>
      <c r="F130" t="n">
        <v>7</v>
      </c>
      <c r="G130" t="n">
        <v>54</v>
      </c>
      <c r="H130" t="n">
        <v>7</v>
      </c>
      <c r="I130" t="n">
        <v>21.1</v>
      </c>
      <c r="J130" t="n">
        <v>18</v>
      </c>
      <c r="K130" t="n">
        <v>0.985</v>
      </c>
      <c r="M130" t="n">
        <v>8</v>
      </c>
      <c r="N130" t="n">
        <v>10</v>
      </c>
      <c r="O130" t="n">
        <v>8</v>
      </c>
      <c r="P130" t="n">
        <v>9</v>
      </c>
      <c r="Q130" t="n">
        <v>8</v>
      </c>
      <c r="R130" t="n">
        <v>8</v>
      </c>
      <c r="S130" t="n">
        <v>7</v>
      </c>
      <c r="T130" t="n">
        <v>9</v>
      </c>
      <c r="U130" t="n">
        <v>9</v>
      </c>
      <c r="V130" t="n">
        <v>1</v>
      </c>
      <c r="W130" t="inlineStr">
        <is>
          <t>Heavy</t>
        </is>
      </c>
      <c r="X130" t="inlineStr">
        <is>
          <t>Indoor</t>
        </is>
      </c>
      <c r="Y130" t="inlineStr">
        <is>
          <t>No</t>
        </is>
      </c>
      <c r="Z130" t="inlineStr">
        <is>
          <t>Low</t>
        </is>
      </c>
      <c r="AA130" t="inlineStr">
        <is>
          <t>16+</t>
        </is>
      </c>
      <c r="AB130" t="inlineStr">
        <is>
          <t>High</t>
        </is>
      </c>
      <c r="AC130" t="n">
        <v>6</v>
      </c>
      <c r="AD130" t="inlineStr">
        <is>
          <t>Yes</t>
        </is>
      </c>
      <c r="AE130" t="inlineStr">
        <is>
          <t>UFC athlete data; Scoggin JF et al. (2010) Phys Sportsmed.</t>
        </is>
      </c>
      <c r="AF130" t="inlineStr">
        <is>
          <t>UFC women's divisions (SW–FW): 52–61 kg, ~160–165 cm. Demands identical to male (striking + grappling).</t>
        </is>
      </c>
      <c r="AG130" t="inlineStr">
        <is>
          <t>F</t>
        </is>
      </c>
    </row>
    <row r="131">
      <c r="A131" t="inlineStr">
        <is>
          <t>SP16F</t>
        </is>
      </c>
      <c r="B131" t="inlineStr">
        <is>
          <t>Brazilian jiu-jitsu</t>
        </is>
      </c>
      <c r="C131" t="inlineStr">
        <is>
          <t>Senior elite (female)</t>
        </is>
      </c>
      <c r="D131" t="inlineStr">
        <is>
          <t>Combat grappling</t>
        </is>
      </c>
      <c r="E131" t="n">
        <v>162</v>
      </c>
      <c r="F131" t="n">
        <v>7</v>
      </c>
      <c r="G131" t="n">
        <v>58</v>
      </c>
      <c r="H131" t="n">
        <v>7</v>
      </c>
      <c r="I131" t="n">
        <v>22.1</v>
      </c>
      <c r="J131" t="n">
        <v>18</v>
      </c>
      <c r="M131" t="n">
        <v>7</v>
      </c>
      <c r="N131" t="n">
        <v>9</v>
      </c>
      <c r="O131" t="n">
        <v>8</v>
      </c>
      <c r="P131" t="n">
        <v>8</v>
      </c>
      <c r="Q131" t="n">
        <v>5</v>
      </c>
      <c r="R131" t="n">
        <v>8</v>
      </c>
      <c r="S131" t="n">
        <v>9</v>
      </c>
      <c r="T131" t="n">
        <v>10</v>
      </c>
      <c r="U131" t="n">
        <v>7</v>
      </c>
      <c r="V131" t="n">
        <v>1</v>
      </c>
      <c r="W131" t="inlineStr">
        <is>
          <t>Heavy</t>
        </is>
      </c>
      <c r="X131" t="inlineStr">
        <is>
          <t>Indoor</t>
        </is>
      </c>
      <c r="Y131" t="inlineStr">
        <is>
          <t>No</t>
        </is>
      </c>
      <c r="Z131" t="inlineStr">
        <is>
          <t>Low</t>
        </is>
      </c>
      <c r="AA131" t="inlineStr">
        <is>
          <t>Any</t>
        </is>
      </c>
      <c r="AB131" t="inlineStr">
        <is>
          <t>Medium</t>
        </is>
      </c>
      <c r="AC131" t="n">
        <v>7</v>
      </c>
      <c r="AD131" t="inlineStr">
        <is>
          <t>Yes</t>
        </is>
      </c>
      <c r="AE131" t="inlineStr">
        <is>
          <t>Andreato LV et al. (2016) Arch Budo; IBJJF competition data.</t>
        </is>
      </c>
      <c r="AF131" t="inlineStr">
        <is>
          <t>IBJJF female elite: technique-dominant, sex performance gap narrower than strength sports. Andreato et al. (2016).</t>
        </is>
      </c>
      <c r="AG131" t="inlineStr">
        <is>
          <t>F</t>
        </is>
      </c>
    </row>
    <row r="132">
      <c r="A132" t="inlineStr">
        <is>
          <t>SP17F</t>
        </is>
      </c>
      <c r="B132" t="inlineStr">
        <is>
          <t>Wrestling (freestyle)</t>
        </is>
      </c>
      <c r="C132" t="inlineStr">
        <is>
          <t>Senior elite (female)</t>
        </is>
      </c>
      <c r="D132" t="inlineStr">
        <is>
          <t>Combat grappling</t>
        </is>
      </c>
      <c r="E132" t="n">
        <v>157</v>
      </c>
      <c r="F132" t="n">
        <v>5</v>
      </c>
      <c r="G132" t="n">
        <v>63</v>
      </c>
      <c r="H132" t="n">
        <v>10</v>
      </c>
      <c r="I132" t="n">
        <v>25.6</v>
      </c>
      <c r="J132" t="n">
        <v>17</v>
      </c>
      <c r="M132" t="n">
        <v>7</v>
      </c>
      <c r="N132" t="n">
        <v>10</v>
      </c>
      <c r="O132" t="n">
        <v>10</v>
      </c>
      <c r="P132" t="n">
        <v>9</v>
      </c>
      <c r="Q132" t="n">
        <v>7</v>
      </c>
      <c r="R132" t="n">
        <v>7</v>
      </c>
      <c r="S132" t="n">
        <v>8</v>
      </c>
      <c r="T132" t="n">
        <v>9</v>
      </c>
      <c r="U132" t="n">
        <v>9</v>
      </c>
      <c r="V132" t="n">
        <v>1</v>
      </c>
      <c r="W132" t="inlineStr">
        <is>
          <t>Heavy</t>
        </is>
      </c>
      <c r="X132" t="inlineStr">
        <is>
          <t>Indoor</t>
        </is>
      </c>
      <c r="Y132" t="inlineStr">
        <is>
          <t>No</t>
        </is>
      </c>
      <c r="Z132" t="inlineStr">
        <is>
          <t>Low</t>
        </is>
      </c>
      <c r="AA132" t="inlineStr">
        <is>
          <t>8–16</t>
        </is>
      </c>
      <c r="AB132" t="inlineStr">
        <is>
          <t>High</t>
        </is>
      </c>
      <c r="AC132" t="n">
        <v>5</v>
      </c>
      <c r="AD132" t="inlineStr">
        <is>
          <t>Some</t>
        </is>
      </c>
      <c r="AE132" t="inlineStr">
        <is>
          <t>UWW official data; derived from SP17 via sex differentials (Holway &amp; Sprague 2011).</t>
        </is>
      </c>
      <c r="AF132" t="inlineStr">
        <is>
          <t>Female freestyle wrestling elite: lighter and shorter. World Wrestling Federation data; same technical demands as male division.</t>
        </is>
      </c>
      <c r="AG132" t="inlineStr">
        <is>
          <t>F</t>
        </is>
      </c>
    </row>
    <row r="133">
      <c r="A133" t="inlineStr">
        <is>
          <t>SP18F</t>
        </is>
      </c>
      <c r="B133" t="inlineStr">
        <is>
          <t>Taekwondo</t>
        </is>
      </c>
      <c r="C133" t="inlineStr">
        <is>
          <t>Senior elite (female)</t>
        </is>
      </c>
      <c r="D133" t="inlineStr">
        <is>
          <t>Combat striking</t>
        </is>
      </c>
      <c r="E133" t="n">
        <v>166</v>
      </c>
      <c r="F133" t="n">
        <v>6</v>
      </c>
      <c r="G133" t="n">
        <v>56</v>
      </c>
      <c r="H133" t="n">
        <v>8</v>
      </c>
      <c r="I133" t="n">
        <v>20.3</v>
      </c>
      <c r="J133" t="n">
        <v>15</v>
      </c>
      <c r="M133" t="n">
        <v>8</v>
      </c>
      <c r="N133" t="n">
        <v>10</v>
      </c>
      <c r="O133" t="n">
        <v>6</v>
      </c>
      <c r="P133" t="n">
        <v>10</v>
      </c>
      <c r="Q133" t="n">
        <v>9</v>
      </c>
      <c r="R133" t="n">
        <v>7</v>
      </c>
      <c r="S133" t="n">
        <v>10</v>
      </c>
      <c r="T133" t="n">
        <v>9</v>
      </c>
      <c r="U133" t="n">
        <v>10</v>
      </c>
      <c r="V133" t="n">
        <v>1</v>
      </c>
      <c r="W133" t="inlineStr">
        <is>
          <t>Medium</t>
        </is>
      </c>
      <c r="X133" t="inlineStr">
        <is>
          <t>Indoor</t>
        </is>
      </c>
      <c r="Y133" t="inlineStr">
        <is>
          <t>No</t>
        </is>
      </c>
      <c r="Z133" t="inlineStr">
        <is>
          <t>Low</t>
        </is>
      </c>
      <c r="AA133" t="inlineStr">
        <is>
          <t>6–14</t>
        </is>
      </c>
      <c r="AB133" t="inlineStr">
        <is>
          <t>Medium</t>
        </is>
      </c>
      <c r="AC133" t="n">
        <v>7</v>
      </c>
      <c r="AD133" t="inlineStr">
        <is>
          <t>Yes</t>
        </is>
      </c>
      <c r="AE133" t="inlineStr">
        <is>
          <t>World Taekwondo Federation data; derived from SP18 via sex differentials.</t>
        </is>
      </c>
      <c r="AF133" t="inlineStr">
        <is>
          <t>WT female athletes: lighter, shorter than male. Olympic 57 kg class typical. Demands identical; kick-dominated scoring same.</t>
        </is>
      </c>
      <c r="AG133" t="inlineStr">
        <is>
          <t>F</t>
        </is>
      </c>
    </row>
    <row r="134">
      <c r="A134" t="inlineStr">
        <is>
          <t>SP19F</t>
        </is>
      </c>
      <c r="B134" t="inlineStr">
        <is>
          <t>Kickboxing</t>
        </is>
      </c>
      <c r="C134" t="inlineStr">
        <is>
          <t>Pro light/super-light (female)</t>
        </is>
      </c>
      <c r="D134" t="inlineStr">
        <is>
          <t>Combat striking</t>
        </is>
      </c>
      <c r="E134" t="n">
        <v>163</v>
      </c>
      <c r="F134" t="n">
        <v>6</v>
      </c>
      <c r="G134" t="n">
        <v>60</v>
      </c>
      <c r="H134" t="n">
        <v>7</v>
      </c>
      <c r="I134" t="n">
        <v>22.6</v>
      </c>
      <c r="J134" t="n">
        <v>14</v>
      </c>
      <c r="M134" t="n">
        <v>8</v>
      </c>
      <c r="N134" t="n">
        <v>10</v>
      </c>
      <c r="O134" t="n">
        <v>8</v>
      </c>
      <c r="P134" t="n">
        <v>9</v>
      </c>
      <c r="Q134" t="n">
        <v>9</v>
      </c>
      <c r="R134" t="n">
        <v>8</v>
      </c>
      <c r="S134" t="n">
        <v>8</v>
      </c>
      <c r="T134" t="n">
        <v>9</v>
      </c>
      <c r="U134" t="n">
        <v>10</v>
      </c>
      <c r="V134" t="n">
        <v>1</v>
      </c>
      <c r="W134" t="inlineStr">
        <is>
          <t>Heavy</t>
        </is>
      </c>
      <c r="X134" t="inlineStr">
        <is>
          <t>Indoor</t>
        </is>
      </c>
      <c r="Y134" t="inlineStr">
        <is>
          <t>No</t>
        </is>
      </c>
      <c r="Z134" t="inlineStr">
        <is>
          <t>Low</t>
        </is>
      </c>
      <c r="AA134" t="inlineStr">
        <is>
          <t>12–18</t>
        </is>
      </c>
      <c r="AB134" t="inlineStr">
        <is>
          <t>High</t>
        </is>
      </c>
      <c r="AC134" t="n">
        <v>7</v>
      </c>
      <c r="AD134" t="inlineStr">
        <is>
          <t>Growing</t>
        </is>
      </c>
      <c r="AE134" t="inlineStr">
        <is>
          <t>WAKO / WKN data; derived from SP19 via sex differentials.</t>
        </is>
      </c>
      <c r="AF134" t="inlineStr">
        <is>
          <t>Female kickboxing pro: strawweight–super-lightweight common. Demands identical to male.</t>
        </is>
      </c>
      <c r="AG134" t="inlineStr">
        <is>
          <t>F</t>
        </is>
      </c>
    </row>
    <row r="135">
      <c r="A135" t="inlineStr">
        <is>
          <t>SP21F</t>
        </is>
      </c>
      <c r="B135" t="inlineStr">
        <is>
          <t>Squash</t>
        </is>
      </c>
      <c r="C135" t="inlineStr">
        <is>
          <t>Senior elite (female)</t>
        </is>
      </c>
      <c r="D135" t="inlineStr">
        <is>
          <t>Individual racquet</t>
        </is>
      </c>
      <c r="E135" t="n">
        <v>166</v>
      </c>
      <c r="F135" t="n">
        <v>5</v>
      </c>
      <c r="G135" t="n">
        <v>63</v>
      </c>
      <c r="H135" t="n">
        <v>6</v>
      </c>
      <c r="I135" t="n">
        <v>22.9</v>
      </c>
      <c r="J135" t="n">
        <v>16</v>
      </c>
      <c r="M135" t="n">
        <v>10</v>
      </c>
      <c r="N135" t="n">
        <v>9</v>
      </c>
      <c r="O135" t="n">
        <v>6</v>
      </c>
      <c r="P135" t="n">
        <v>8</v>
      </c>
      <c r="Q135" t="n">
        <v>8</v>
      </c>
      <c r="R135" t="n">
        <v>9</v>
      </c>
      <c r="S135" t="n">
        <v>8</v>
      </c>
      <c r="T135" t="n">
        <v>9</v>
      </c>
      <c r="U135" t="n">
        <v>9</v>
      </c>
      <c r="V135" t="n">
        <v>1</v>
      </c>
      <c r="W135" t="inlineStr">
        <is>
          <t>None</t>
        </is>
      </c>
      <c r="X135" t="inlineStr">
        <is>
          <t>Indoor</t>
        </is>
      </c>
      <c r="Y135" t="inlineStr">
        <is>
          <t>No</t>
        </is>
      </c>
      <c r="Z135" t="inlineStr">
        <is>
          <t>Low</t>
        </is>
      </c>
      <c r="AA135" t="inlineStr">
        <is>
          <t>10–18</t>
        </is>
      </c>
      <c r="AB135" t="inlineStr">
        <is>
          <t>Medium</t>
        </is>
      </c>
      <c r="AC135" t="n">
        <v>7</v>
      </c>
      <c r="AD135" t="inlineStr">
        <is>
          <t>Yes</t>
        </is>
      </c>
      <c r="AE135" t="inlineStr">
        <is>
          <t>PSA World Tour data; derived from SP21 via sex differentials.</t>
        </is>
      </c>
      <c r="AF135" t="inlineStr">
        <is>
          <t>PSA women's tour: slightly shorter/lighter than men, same technical demands.</t>
        </is>
      </c>
      <c r="AG135" t="inlineStr">
        <is>
          <t>F</t>
        </is>
      </c>
    </row>
    <row r="136">
      <c r="A136" t="inlineStr">
        <is>
          <t>SP22F</t>
        </is>
      </c>
      <c r="B136" t="inlineStr">
        <is>
          <t>Table tennis</t>
        </is>
      </c>
      <c r="C136" t="inlineStr">
        <is>
          <t>Senior elite (female)</t>
        </is>
      </c>
      <c r="D136" t="inlineStr">
        <is>
          <t>Individual racquet</t>
        </is>
      </c>
      <c r="E136" t="n">
        <v>163</v>
      </c>
      <c r="F136" t="n">
        <v>6</v>
      </c>
      <c r="G136" t="n">
        <v>60</v>
      </c>
      <c r="H136" t="n">
        <v>7</v>
      </c>
      <c r="I136" t="n">
        <v>22.6</v>
      </c>
      <c r="J136" t="n">
        <v>20</v>
      </c>
      <c r="M136" t="n">
        <v>6</v>
      </c>
      <c r="N136" t="n">
        <v>9</v>
      </c>
      <c r="O136" t="n">
        <v>5</v>
      </c>
      <c r="P136" t="n">
        <v>8</v>
      </c>
      <c r="Q136" t="n">
        <v>8</v>
      </c>
      <c r="R136" t="n">
        <v>7</v>
      </c>
      <c r="S136" t="n">
        <v>7</v>
      </c>
      <c r="T136" t="n">
        <v>10</v>
      </c>
      <c r="U136" t="n">
        <v>10</v>
      </c>
      <c r="V136" t="n">
        <v>1</v>
      </c>
      <c r="W136" t="inlineStr">
        <is>
          <t>None</t>
        </is>
      </c>
      <c r="X136" t="inlineStr">
        <is>
          <t>Indoor</t>
        </is>
      </c>
      <c r="Y136" t="inlineStr">
        <is>
          <t>No</t>
        </is>
      </c>
      <c r="Z136" t="inlineStr">
        <is>
          <t>Low</t>
        </is>
      </c>
      <c r="AA136" t="inlineStr">
        <is>
          <t>5–10</t>
        </is>
      </c>
      <c r="AB136" t="inlineStr">
        <is>
          <t>Low</t>
        </is>
      </c>
      <c r="AC136" t="n">
        <v>7</v>
      </c>
      <c r="AD136" t="inlineStr">
        <is>
          <t>Yes</t>
        </is>
      </c>
      <c r="AE136" t="inlineStr">
        <is>
          <t>ITTF data; derived from SP22 via sex differentials.</t>
        </is>
      </c>
      <c r="AF136" t="inlineStr">
        <is>
          <t>ITTF women's tour: very similar demand profile. Korean/Chinese athletes typically shorter than simple scaling predicts.</t>
        </is>
      </c>
      <c r="AG136" t="inlineStr">
        <is>
          <t>F</t>
        </is>
      </c>
    </row>
    <row r="137">
      <c r="A137" t="inlineStr">
        <is>
          <t>SP23F</t>
        </is>
      </c>
      <c r="B137" t="inlineStr">
        <is>
          <t>Powerlifting</t>
        </is>
      </c>
      <c r="C137" t="inlineStr">
        <is>
          <t>Middleweight (~69–76 kg, female)</t>
        </is>
      </c>
      <c r="D137" t="inlineStr">
        <is>
          <t>Strength individual</t>
        </is>
      </c>
      <c r="E137" t="n">
        <v>162</v>
      </c>
      <c r="F137" t="n">
        <v>6</v>
      </c>
      <c r="G137" t="n">
        <v>70</v>
      </c>
      <c r="H137" t="n">
        <v>6</v>
      </c>
      <c r="I137" t="n">
        <v>26.7</v>
      </c>
      <c r="J137" t="n">
        <v>24</v>
      </c>
      <c r="M137" t="n">
        <v>3</v>
      </c>
      <c r="N137" t="n">
        <v>9</v>
      </c>
      <c r="O137" t="n">
        <v>10</v>
      </c>
      <c r="P137" t="n">
        <v>7</v>
      </c>
      <c r="Q137" t="n">
        <v>4</v>
      </c>
      <c r="R137" t="n">
        <v>3</v>
      </c>
      <c r="S137" t="n">
        <v>5</v>
      </c>
      <c r="T137" t="n">
        <v>7</v>
      </c>
      <c r="U137" t="n">
        <v>5</v>
      </c>
      <c r="V137" t="n">
        <v>1</v>
      </c>
      <c r="W137" t="inlineStr">
        <is>
          <t>None</t>
        </is>
      </c>
      <c r="X137" t="inlineStr">
        <is>
          <t>Indoor</t>
        </is>
      </c>
      <c r="Y137" t="inlineStr">
        <is>
          <t>No</t>
        </is>
      </c>
      <c r="Z137" t="inlineStr">
        <is>
          <t>Low</t>
        </is>
      </c>
      <c r="AA137" t="inlineStr">
        <is>
          <t>Any</t>
        </is>
      </c>
      <c r="AB137" t="inlineStr">
        <is>
          <t>Medium</t>
        </is>
      </c>
      <c r="AC137" t="n">
        <v>7</v>
      </c>
      <c r="AD137" t="inlineStr">
        <is>
          <t>Yes</t>
        </is>
      </c>
      <c r="AE137" t="inlineStr">
        <is>
          <t>IPF official records; Sooneste H et al. (2021) Sports (Basel).</t>
        </is>
      </c>
      <c r="AF137" t="inlineStr">
        <is>
          <t>IPF women's powerlifting: higher BF than male at equivalent weight class. Total demands profile identical.</t>
        </is>
      </c>
      <c r="AG137" t="inlineStr">
        <is>
          <t>F</t>
        </is>
      </c>
    </row>
    <row r="138">
      <c r="A138" t="inlineStr">
        <is>
          <t>SP24F</t>
        </is>
      </c>
      <c r="B138" t="inlineStr">
        <is>
          <t>Olympic weightlifting</t>
        </is>
      </c>
      <c r="C138" t="inlineStr">
        <is>
          <t>Middleweight (~64–71 kg, female)</t>
        </is>
      </c>
      <c r="D138" t="inlineStr">
        <is>
          <t>Strength individual</t>
        </is>
      </c>
      <c r="E138" t="n">
        <v>162</v>
      </c>
      <c r="F138" t="n">
        <v>6</v>
      </c>
      <c r="G138" t="n">
        <v>67</v>
      </c>
      <c r="H138" t="n">
        <v>6</v>
      </c>
      <c r="I138" t="n">
        <v>25.5</v>
      </c>
      <c r="J138" t="n">
        <v>20</v>
      </c>
      <c r="M138" t="n">
        <v>3</v>
      </c>
      <c r="N138" t="n">
        <v>10</v>
      </c>
      <c r="O138" t="n">
        <v>10</v>
      </c>
      <c r="P138" t="n">
        <v>10</v>
      </c>
      <c r="Q138" t="n">
        <v>6</v>
      </c>
      <c r="R138" t="n">
        <v>3</v>
      </c>
      <c r="S138" t="n">
        <v>9</v>
      </c>
      <c r="T138" t="n">
        <v>9</v>
      </c>
      <c r="U138" t="n">
        <v>8</v>
      </c>
      <c r="V138" t="n">
        <v>1</v>
      </c>
      <c r="W138" t="inlineStr">
        <is>
          <t>None</t>
        </is>
      </c>
      <c r="X138" t="inlineStr">
        <is>
          <t>Indoor</t>
        </is>
      </c>
      <c r="Y138" t="inlineStr">
        <is>
          <t>No</t>
        </is>
      </c>
      <c r="Z138" t="inlineStr">
        <is>
          <t>Medium</t>
        </is>
      </c>
      <c r="AA138" t="inlineStr">
        <is>
          <t>10–16</t>
        </is>
      </c>
      <c r="AB138" t="inlineStr">
        <is>
          <t>Medium</t>
        </is>
      </c>
      <c r="AC138" t="n">
        <v>7</v>
      </c>
      <c r="AD138" t="inlineStr">
        <is>
          <t>Yes</t>
        </is>
      </c>
      <c r="AE138" t="inlineStr">
        <is>
          <t>IWF official data; Marchetti PH et al. (2016) J Hum Kinet.</t>
        </is>
      </c>
      <c r="AF138" t="inlineStr">
        <is>
          <t>IWF women's 64 kg class: 160–165 cm. Exceptional power-to-weight, high lean mass.</t>
        </is>
      </c>
      <c r="AG138" t="inlineStr">
        <is>
          <t>F</t>
        </is>
      </c>
    </row>
    <row r="139">
      <c r="A139" t="inlineStr">
        <is>
          <t>SP25F</t>
        </is>
      </c>
      <c r="B139" t="inlineStr">
        <is>
          <t>Strongman</t>
        </is>
      </c>
      <c r="C139" t="inlineStr">
        <is>
          <t>Elite open class (female)</t>
        </is>
      </c>
      <c r="D139" t="inlineStr">
        <is>
          <t>Strength individual</t>
        </is>
      </c>
      <c r="E139" t="n">
        <v>172</v>
      </c>
      <c r="F139" t="n">
        <v>7.1</v>
      </c>
      <c r="G139" t="n">
        <v>128</v>
      </c>
      <c r="H139" t="n">
        <v>19.3</v>
      </c>
      <c r="I139" t="n">
        <v>43.3</v>
      </c>
      <c r="J139" t="n">
        <v>25</v>
      </c>
      <c r="M139" t="n">
        <v>5</v>
      </c>
      <c r="N139" t="n">
        <v>9</v>
      </c>
      <c r="O139" t="n">
        <v>10</v>
      </c>
      <c r="P139" t="n">
        <v>8</v>
      </c>
      <c r="Q139" t="n">
        <v>5</v>
      </c>
      <c r="R139" t="n">
        <v>6</v>
      </c>
      <c r="S139" t="n">
        <v>4</v>
      </c>
      <c r="T139" t="n">
        <v>7</v>
      </c>
      <c r="U139" t="n">
        <v>5</v>
      </c>
      <c r="V139" t="n">
        <v>1</v>
      </c>
      <c r="W139" t="inlineStr">
        <is>
          <t>None</t>
        </is>
      </c>
      <c r="X139" t="inlineStr">
        <is>
          <t>Outdoor / indoor</t>
        </is>
      </c>
      <c r="Y139" t="inlineStr">
        <is>
          <t>No</t>
        </is>
      </c>
      <c r="Z139" t="inlineStr">
        <is>
          <t>Medium</t>
        </is>
      </c>
      <c r="AA139" t="inlineStr">
        <is>
          <t>20+</t>
        </is>
      </c>
      <c r="AB139" t="inlineStr">
        <is>
          <t>High</t>
        </is>
      </c>
      <c r="AC139" t="n">
        <v>5</v>
      </c>
      <c r="AD139" t="inlineStr">
        <is>
          <t>Some</t>
        </is>
      </c>
      <c r="AE139" t="inlineStr">
        <is>
          <t>WSW competition data; derived from SP25 via sex differentials.</t>
        </is>
      </c>
      <c r="AF139" t="inlineStr">
        <is>
          <t>Strongwoman competitors are significantly lighter than male counterparts. World's Strongest Woman field: ~100–135 kg, 170–175 cm. BF higher than male Strongman. Same demands — maximal strength dominant.</t>
        </is>
      </c>
      <c r="AG139" t="inlineStr">
        <is>
          <t>F</t>
        </is>
      </c>
    </row>
    <row r="140">
      <c r="A140" t="inlineStr">
        <is>
          <t>SP27F</t>
        </is>
      </c>
      <c r="B140" t="inlineStr">
        <is>
          <t>Biathlon</t>
        </is>
      </c>
      <c r="C140" t="inlineStr">
        <is>
          <t>Senior elite (female)</t>
        </is>
      </c>
      <c r="D140" t="inlineStr">
        <is>
          <t>Endurance individual / pursuit</t>
        </is>
      </c>
      <c r="E140" t="n">
        <v>167</v>
      </c>
      <c r="F140" t="n">
        <v>6</v>
      </c>
      <c r="G140" t="n">
        <v>61</v>
      </c>
      <c r="H140" t="n">
        <v>6</v>
      </c>
      <c r="I140" t="n">
        <v>21.9</v>
      </c>
      <c r="J140" t="n">
        <v>19</v>
      </c>
      <c r="M140" t="n">
        <v>10</v>
      </c>
      <c r="N140" t="n">
        <v>7</v>
      </c>
      <c r="O140" t="n">
        <v>6</v>
      </c>
      <c r="P140" t="n">
        <v>6</v>
      </c>
      <c r="Q140" t="n">
        <v>5</v>
      </c>
      <c r="R140" t="n">
        <v>10</v>
      </c>
      <c r="S140" t="n">
        <v>6</v>
      </c>
      <c r="T140" t="n">
        <v>9</v>
      </c>
      <c r="U140" t="n">
        <v>9</v>
      </c>
      <c r="V140" t="n">
        <v>1</v>
      </c>
      <c r="W140" t="inlineStr">
        <is>
          <t>None</t>
        </is>
      </c>
      <c r="X140" t="inlineStr">
        <is>
          <t>Outdoor</t>
        </is>
      </c>
      <c r="Y140" t="inlineStr">
        <is>
          <t>No</t>
        </is>
      </c>
      <c r="Z140" t="inlineStr">
        <is>
          <t>High</t>
        </is>
      </c>
      <c r="AA140" t="inlineStr">
        <is>
          <t>8–14</t>
        </is>
      </c>
      <c r="AB140" t="inlineStr">
        <is>
          <t>Medium</t>
        </is>
      </c>
      <c r="AC140" t="n">
        <v>1</v>
      </c>
      <c r="AD140" t="inlineStr">
        <is>
          <t>No</t>
        </is>
      </c>
      <c r="AE140" t="inlineStr">
        <is>
          <t>IBU official data; derived from SP27 via sex differentials.</t>
        </is>
      </c>
      <c r="AF140" t="inlineStr">
        <is>
          <t>IBU biathlon women's circuit: lighter than male but same aerobic + rifle demand structure.</t>
        </is>
      </c>
      <c r="AG140" t="inlineStr">
        <is>
          <t>F</t>
        </is>
      </c>
    </row>
    <row r="141">
      <c r="A141" t="inlineStr">
        <is>
          <t>SP28F</t>
        </is>
      </c>
      <c r="B141" t="inlineStr">
        <is>
          <t>Alpine skiing</t>
        </is>
      </c>
      <c r="C141" t="inlineStr">
        <is>
          <t>Technical (slalom / GS, female)</t>
        </is>
      </c>
      <c r="D141" t="inlineStr">
        <is>
          <t>Power-speed individual</t>
        </is>
      </c>
      <c r="E141" t="n">
        <v>164</v>
      </c>
      <c r="F141" t="n">
        <v>5</v>
      </c>
      <c r="G141" t="n">
        <v>67</v>
      </c>
      <c r="H141" t="n">
        <v>6</v>
      </c>
      <c r="I141" t="n">
        <v>24.9</v>
      </c>
      <c r="J141" t="n">
        <v>18</v>
      </c>
      <c r="M141" t="n">
        <v>6</v>
      </c>
      <c r="N141" t="n">
        <v>9</v>
      </c>
      <c r="O141" t="n">
        <v>9</v>
      </c>
      <c r="P141" t="n">
        <v>9</v>
      </c>
      <c r="Q141" t="n">
        <v>8</v>
      </c>
      <c r="R141" t="n">
        <v>6</v>
      </c>
      <c r="S141" t="n">
        <v>6</v>
      </c>
      <c r="T141" t="n">
        <v>9</v>
      </c>
      <c r="U141" t="n">
        <v>9</v>
      </c>
      <c r="V141" t="n">
        <v>1</v>
      </c>
      <c r="W141" t="inlineStr">
        <is>
          <t>Light</t>
        </is>
      </c>
      <c r="X141" t="inlineStr">
        <is>
          <t>Outdoor</t>
        </is>
      </c>
      <c r="Y141" t="inlineStr">
        <is>
          <t>No</t>
        </is>
      </c>
      <c r="Z141" t="inlineStr">
        <is>
          <t>High</t>
        </is>
      </c>
      <c r="AA141" t="inlineStr">
        <is>
          <t>5–10</t>
        </is>
      </c>
      <c r="AB141" t="inlineStr">
        <is>
          <t>High</t>
        </is>
      </c>
      <c r="AC141" t="n">
        <v>1</v>
      </c>
      <c r="AD141" t="inlineStr">
        <is>
          <t>No</t>
        </is>
      </c>
      <c r="AE141" t="inlineStr">
        <is>
          <t>FIS data; derived from SP28 via sex differentials.</t>
        </is>
      </c>
      <c r="AF141" t="inlineStr">
        <is>
          <t>FIS women's alpine tech events: similar demand to male, physically lighter.</t>
        </is>
      </c>
      <c r="AG141" t="inlineStr">
        <is>
          <t>F</t>
        </is>
      </c>
    </row>
    <row r="142">
      <c r="A142" t="inlineStr">
        <is>
          <t>SP28bF</t>
        </is>
      </c>
      <c r="B142" t="inlineStr">
        <is>
          <t>Alpine skiing</t>
        </is>
      </c>
      <c r="C142" t="inlineStr">
        <is>
          <t>Speed (super-G / downhill, female)</t>
        </is>
      </c>
      <c r="D142" t="inlineStr">
        <is>
          <t>Power-speed individual</t>
        </is>
      </c>
      <c r="E142" t="n">
        <v>169</v>
      </c>
      <c r="F142" t="n">
        <v>5</v>
      </c>
      <c r="G142" t="n">
        <v>74</v>
      </c>
      <c r="H142" t="n">
        <v>8</v>
      </c>
      <c r="I142" t="n">
        <v>25.9</v>
      </c>
      <c r="J142" t="n">
        <v>20</v>
      </c>
      <c r="M142" t="n">
        <v>6</v>
      </c>
      <c r="N142" t="n">
        <v>9</v>
      </c>
      <c r="O142" t="n">
        <v>9</v>
      </c>
      <c r="P142" t="n">
        <v>9</v>
      </c>
      <c r="Q142" t="n">
        <v>8</v>
      </c>
      <c r="R142" t="n">
        <v>7</v>
      </c>
      <c r="S142" t="n">
        <v>5</v>
      </c>
      <c r="T142" t="n">
        <v>8</v>
      </c>
      <c r="U142" t="n">
        <v>9</v>
      </c>
      <c r="V142" t="n">
        <v>1</v>
      </c>
      <c r="W142" t="inlineStr">
        <is>
          <t>Light</t>
        </is>
      </c>
      <c r="X142" t="inlineStr">
        <is>
          <t>Outdoor</t>
        </is>
      </c>
      <c r="Y142" t="inlineStr">
        <is>
          <t>No</t>
        </is>
      </c>
      <c r="Z142" t="inlineStr">
        <is>
          <t>High</t>
        </is>
      </c>
      <c r="AA142" t="inlineStr">
        <is>
          <t>5–10</t>
        </is>
      </c>
      <c r="AB142" t="inlineStr">
        <is>
          <t>High</t>
        </is>
      </c>
      <c r="AC142" t="n">
        <v>1</v>
      </c>
      <c r="AD142" t="inlineStr">
        <is>
          <t>No</t>
        </is>
      </c>
      <c r="AE142" t="inlineStr">
        <is>
          <t>FIS data; derived from SP28b via sex differentials.</t>
        </is>
      </c>
      <c r="AF142" t="inlineStr">
        <is>
          <t>FIS women's speed events: slightly less massive than men's speed skiers but same demands.</t>
        </is>
      </c>
      <c r="AG142" t="inlineStr">
        <is>
          <t>F</t>
        </is>
      </c>
    </row>
    <row r="143">
      <c r="A143" t="inlineStr">
        <is>
          <t>SP31F</t>
        </is>
      </c>
      <c r="B143" t="inlineStr">
        <is>
          <t>Kayaking</t>
        </is>
      </c>
      <c r="C143" t="inlineStr">
        <is>
          <t>Sprint (female)</t>
        </is>
      </c>
      <c r="D143" t="inlineStr">
        <is>
          <t>Endurance individual / pair</t>
        </is>
      </c>
      <c r="E143" t="n">
        <v>166</v>
      </c>
      <c r="F143" t="n">
        <v>5</v>
      </c>
      <c r="G143" t="n">
        <v>69</v>
      </c>
      <c r="H143" t="n">
        <v>6</v>
      </c>
      <c r="I143" t="n">
        <v>25</v>
      </c>
      <c r="J143" t="n">
        <v>15</v>
      </c>
      <c r="K143" t="n">
        <v>1.05</v>
      </c>
      <c r="M143" t="n">
        <v>8</v>
      </c>
      <c r="N143" t="n">
        <v>9</v>
      </c>
      <c r="O143" t="n">
        <v>8</v>
      </c>
      <c r="P143" t="n">
        <v>9</v>
      </c>
      <c r="Q143" t="n">
        <v>6</v>
      </c>
      <c r="R143" t="n">
        <v>8</v>
      </c>
      <c r="S143" t="n">
        <v>6</v>
      </c>
      <c r="T143" t="n">
        <v>7</v>
      </c>
      <c r="U143" t="n">
        <v>6</v>
      </c>
      <c r="V143" t="n">
        <v>1</v>
      </c>
      <c r="W143" t="inlineStr">
        <is>
          <t>None</t>
        </is>
      </c>
      <c r="X143" t="inlineStr">
        <is>
          <t>Outdoor</t>
        </is>
      </c>
      <c r="Y143" t="inlineStr">
        <is>
          <t>Yes</t>
        </is>
      </c>
      <c r="Z143" t="inlineStr">
        <is>
          <t>Medium</t>
        </is>
      </c>
      <c r="AA143" t="inlineStr">
        <is>
          <t>8–14</t>
        </is>
      </c>
      <c r="AB143" t="inlineStr">
        <is>
          <t>Low</t>
        </is>
      </c>
      <c r="AC143" t="n">
        <v>5</v>
      </c>
      <c r="AD143" t="inlineStr">
        <is>
          <t>Yes</t>
        </is>
      </c>
      <c r="AE143" t="inlineStr">
        <is>
          <t>ICF data; derived from SP31 via sex differentials.</t>
        </is>
      </c>
      <c r="AF143" t="inlineStr">
        <is>
          <t>ICF women's kayak sprint. Demands identical.</t>
        </is>
      </c>
      <c r="AG143" t="inlineStr">
        <is>
          <t>F</t>
        </is>
      </c>
    </row>
    <row r="144">
      <c r="A144" t="inlineStr">
        <is>
          <t>SP45F</t>
        </is>
      </c>
      <c r="B144" t="inlineStr">
        <is>
          <t>Discus throw</t>
        </is>
      </c>
      <c r="C144" t="inlineStr">
        <is>
          <t>Senior elite (female)</t>
        </is>
      </c>
      <c r="D144" t="inlineStr">
        <is>
          <t>Power-throw individual</t>
        </is>
      </c>
      <c r="E144" t="n">
        <v>178</v>
      </c>
      <c r="F144" t="n">
        <v>5</v>
      </c>
      <c r="G144" t="n">
        <v>92</v>
      </c>
      <c r="H144" t="n">
        <v>10</v>
      </c>
      <c r="I144" t="n">
        <v>29</v>
      </c>
      <c r="J144" t="n">
        <v>20</v>
      </c>
      <c r="K144" t="n">
        <v>1.04</v>
      </c>
      <c r="M144" t="n">
        <v>4</v>
      </c>
      <c r="N144" t="n">
        <v>7</v>
      </c>
      <c r="O144" t="n">
        <v>10</v>
      </c>
      <c r="P144" t="n">
        <v>10</v>
      </c>
      <c r="Q144" t="n">
        <v>6</v>
      </c>
      <c r="R144" t="n">
        <v>4</v>
      </c>
      <c r="S144" t="n">
        <v>7</v>
      </c>
      <c r="T144" t="n">
        <v>8</v>
      </c>
      <c r="U144" t="n">
        <v>7</v>
      </c>
      <c r="V144" t="n">
        <v>1</v>
      </c>
      <c r="W144" t="inlineStr">
        <is>
          <t>None</t>
        </is>
      </c>
      <c r="X144" t="inlineStr">
        <is>
          <t>Outdoor</t>
        </is>
      </c>
      <c r="Y144" t="inlineStr">
        <is>
          <t>No</t>
        </is>
      </c>
      <c r="Z144" t="inlineStr">
        <is>
          <t>Medium</t>
        </is>
      </c>
      <c r="AA144" t="inlineStr">
        <is>
          <t>10-16</t>
        </is>
      </c>
      <c r="AB144" t="inlineStr">
        <is>
          <t>Medium</t>
        </is>
      </c>
      <c r="AC144" t="n">
        <v>4</v>
      </c>
      <c r="AD144" t="inlineStr">
        <is>
          <t>Some</t>
        </is>
      </c>
      <c r="AE144" t="inlineStr">
        <is>
          <t>World Athletics data; derived from SP45 via sex differentials.</t>
        </is>
      </c>
      <c r="AF144" t="inlineStr">
        <is>
          <t>IAAF women's discus: shorter implement, lighter implement (1 kg vs 2 kg male). Physical profile lighter; power demands equal.</t>
        </is>
      </c>
      <c r="AG144" t="inlineStr">
        <is>
          <t>F</t>
        </is>
      </c>
    </row>
    <row r="145">
      <c r="A145" t="inlineStr">
        <is>
          <t>SP46F</t>
        </is>
      </c>
      <c r="B145" t="inlineStr">
        <is>
          <t>Shot put</t>
        </is>
      </c>
      <c r="C145" t="inlineStr">
        <is>
          <t>Senior elite (female)</t>
        </is>
      </c>
      <c r="D145" t="inlineStr">
        <is>
          <t>Power-throw individual</t>
        </is>
      </c>
      <c r="E145" t="n">
        <v>173</v>
      </c>
      <c r="F145" t="n">
        <v>6</v>
      </c>
      <c r="G145" t="n">
        <v>102</v>
      </c>
      <c r="H145" t="n">
        <v>14</v>
      </c>
      <c r="I145" t="n">
        <v>34.1</v>
      </c>
      <c r="J145" t="n">
        <v>24</v>
      </c>
      <c r="M145" t="n">
        <v>4</v>
      </c>
      <c r="N145" t="n">
        <v>7</v>
      </c>
      <c r="O145" t="n">
        <v>10</v>
      </c>
      <c r="P145" t="n">
        <v>10</v>
      </c>
      <c r="Q145" t="n">
        <v>5</v>
      </c>
      <c r="R145" t="n">
        <v>3</v>
      </c>
      <c r="S145" t="n">
        <v>6</v>
      </c>
      <c r="T145" t="n">
        <v>8</v>
      </c>
      <c r="U145" t="n">
        <v>7</v>
      </c>
      <c r="V145" t="n">
        <v>1</v>
      </c>
      <c r="W145" t="inlineStr">
        <is>
          <t>None</t>
        </is>
      </c>
      <c r="X145" t="inlineStr">
        <is>
          <t>Outdoor</t>
        </is>
      </c>
      <c r="Y145" t="inlineStr">
        <is>
          <t>No</t>
        </is>
      </c>
      <c r="Z145" t="inlineStr">
        <is>
          <t>Medium</t>
        </is>
      </c>
      <c r="AA145" t="inlineStr">
        <is>
          <t>10-16</t>
        </is>
      </c>
      <c r="AB145" t="inlineStr">
        <is>
          <t>Medium</t>
        </is>
      </c>
      <c r="AC145" t="n">
        <v>4</v>
      </c>
      <c r="AD145" t="inlineStr">
        <is>
          <t>Some</t>
        </is>
      </c>
      <c r="AE145" t="inlineStr">
        <is>
          <t>World Athletics data; derived from SP46 via sex differentials.</t>
        </is>
      </c>
      <c r="AF145" t="inlineStr">
        <is>
          <t>IAAF women's shot put: 4 kg implement vs 7.26 kg male. Physical profile lighter; strength demands equal.</t>
        </is>
      </c>
      <c r="AG145" t="inlineStr">
        <is>
          <t>F</t>
        </is>
      </c>
    </row>
    <row r="146">
      <c r="A146" t="inlineStr">
        <is>
          <t>SP49F</t>
        </is>
      </c>
      <c r="B146" t="inlineStr">
        <is>
          <t>Triple jump</t>
        </is>
      </c>
      <c r="C146" t="inlineStr">
        <is>
          <t>Senior elite (female)</t>
        </is>
      </c>
      <c r="D146" t="inlineStr">
        <is>
          <t>Power-jump individual</t>
        </is>
      </c>
      <c r="E146" t="n">
        <v>173</v>
      </c>
      <c r="F146" t="n">
        <v>5</v>
      </c>
      <c r="G146" t="n">
        <v>67</v>
      </c>
      <c r="H146" t="n">
        <v>6</v>
      </c>
      <c r="I146" t="n">
        <v>22.4</v>
      </c>
      <c r="J146" t="n">
        <v>14</v>
      </c>
      <c r="M146" t="n">
        <v>5</v>
      </c>
      <c r="N146" t="n">
        <v>9</v>
      </c>
      <c r="O146" t="n">
        <v>9</v>
      </c>
      <c r="P146" t="n">
        <v>10</v>
      </c>
      <c r="Q146" t="n">
        <v>9</v>
      </c>
      <c r="R146" t="n">
        <v>3</v>
      </c>
      <c r="S146" t="n">
        <v>7</v>
      </c>
      <c r="T146" t="n">
        <v>9</v>
      </c>
      <c r="U146" t="n">
        <v>8</v>
      </c>
      <c r="V146" t="n">
        <v>1</v>
      </c>
      <c r="W146" t="inlineStr">
        <is>
          <t>None</t>
        </is>
      </c>
      <c r="X146" t="inlineStr">
        <is>
          <t>Outdoor</t>
        </is>
      </c>
      <c r="Y146" t="inlineStr">
        <is>
          <t>No</t>
        </is>
      </c>
      <c r="Z146" t="inlineStr">
        <is>
          <t>Low</t>
        </is>
      </c>
      <c r="AA146" t="inlineStr">
        <is>
          <t>10-16</t>
        </is>
      </c>
      <c r="AB146" t="inlineStr">
        <is>
          <t>High</t>
        </is>
      </c>
      <c r="AC146" t="n">
        <v>3</v>
      </c>
      <c r="AD146" t="inlineStr">
        <is>
          <t>No</t>
        </is>
      </c>
      <c r="AE146" t="inlineStr">
        <is>
          <t>World Athletics data; derived from SP49 via sex differentials.</t>
        </is>
      </c>
      <c r="AF146" t="inlineStr">
        <is>
          <t>IAAF women's triple jump: demands identical to male, physical profile lighter.</t>
        </is>
      </c>
      <c r="AG146" t="inlineStr">
        <is>
          <t>F</t>
        </is>
      </c>
    </row>
    <row r="147">
      <c r="A147" t="inlineStr">
        <is>
          <t>SP57F</t>
        </is>
      </c>
      <c r="B147" t="inlineStr">
        <is>
          <t>Padel</t>
        </is>
      </c>
      <c r="C147" t="inlineStr">
        <is>
          <t>Doubles (female)</t>
        </is>
      </c>
      <c r="D147" t="inlineStr">
        <is>
          <t>Individual racquet</t>
        </is>
      </c>
      <c r="E147" t="n">
        <v>161</v>
      </c>
      <c r="F147" t="n">
        <v>8</v>
      </c>
      <c r="G147" t="n">
        <v>62</v>
      </c>
      <c r="H147" t="n">
        <v>8</v>
      </c>
      <c r="I147" t="n">
        <v>23.9</v>
      </c>
      <c r="J147" t="n">
        <v>20</v>
      </c>
      <c r="M147" t="n">
        <v>6</v>
      </c>
      <c r="N147" t="n">
        <v>7</v>
      </c>
      <c r="O147" t="n">
        <v>3</v>
      </c>
      <c r="P147" t="n">
        <v>5</v>
      </c>
      <c r="Q147" t="n">
        <v>7</v>
      </c>
      <c r="R147" t="n">
        <v>5</v>
      </c>
      <c r="S147" t="n">
        <v>6</v>
      </c>
      <c r="T147" t="n">
        <v>8</v>
      </c>
      <c r="U147" t="n">
        <v>9</v>
      </c>
      <c r="V147" t="n">
        <v>2</v>
      </c>
      <c r="W147" t="inlineStr">
        <is>
          <t>None</t>
        </is>
      </c>
      <c r="X147" t="inlineStr">
        <is>
          <t>Both</t>
        </is>
      </c>
      <c r="Y147" t="inlineStr">
        <is>
          <t>No</t>
        </is>
      </c>
      <c r="Z147" t="inlineStr">
        <is>
          <t>Medium</t>
        </is>
      </c>
      <c r="AA147" t="inlineStr">
        <is>
          <t>8–60</t>
        </is>
      </c>
      <c r="AB147" t="inlineStr">
        <is>
          <t>Low</t>
        </is>
      </c>
      <c r="AC147" t="n">
        <v>5</v>
      </c>
      <c r="AD147" t="inlineStr">
        <is>
          <t>No</t>
        </is>
      </c>
      <c r="AE147" t="inlineStr">
        <is>
          <t>WPT Tour data; derived from SP57 via sex differentials.</t>
        </is>
      </c>
      <c r="AF147" t="inlineStr">
        <is>
          <t>WPT women's padel: same court / racket / demands. Physical profile slightly shorter.</t>
        </is>
      </c>
      <c r="AG147" t="inlineStr">
        <is>
          <t>F</t>
        </is>
      </c>
    </row>
    <row r="148">
      <c r="A148" t="inlineStr">
        <is>
          <t>SP58BF</t>
        </is>
      </c>
      <c r="B148" t="inlineStr">
        <is>
          <t>Volleyball (Beach)</t>
        </is>
      </c>
      <c r="C148" t="inlineStr">
        <is>
          <t>Beach (2-a-side, female)</t>
        </is>
      </c>
      <c r="D148" t="inlineStr">
        <is>
          <t>Team court</t>
        </is>
      </c>
      <c r="E148" t="n">
        <v>177</v>
      </c>
      <c r="F148" t="n">
        <v>7</v>
      </c>
      <c r="G148" t="n">
        <v>72</v>
      </c>
      <c r="H148" t="n">
        <v>8</v>
      </c>
      <c r="I148" t="n">
        <v>23</v>
      </c>
      <c r="J148" t="n">
        <v>17</v>
      </c>
      <c r="M148" t="n">
        <v>7</v>
      </c>
      <c r="N148" t="n">
        <v>8</v>
      </c>
      <c r="O148" t="n">
        <v>5</v>
      </c>
      <c r="P148" t="n">
        <v>8</v>
      </c>
      <c r="Q148" t="n">
        <v>7</v>
      </c>
      <c r="R148" t="n">
        <v>6</v>
      </c>
      <c r="S148" t="n">
        <v>6</v>
      </c>
      <c r="T148" t="n">
        <v>8</v>
      </c>
      <c r="U148" t="n">
        <v>8</v>
      </c>
      <c r="V148" t="n">
        <v>2</v>
      </c>
      <c r="W148" t="inlineStr">
        <is>
          <t>None</t>
        </is>
      </c>
      <c r="X148" t="inlineStr">
        <is>
          <t>Outdoor</t>
        </is>
      </c>
      <c r="Y148" t="inlineStr">
        <is>
          <t>No</t>
        </is>
      </c>
      <c r="Z148" t="inlineStr">
        <is>
          <t>Low</t>
        </is>
      </c>
      <c r="AA148" t="inlineStr">
        <is>
          <t>10–18</t>
        </is>
      </c>
      <c r="AB148" t="inlineStr">
        <is>
          <t>Low</t>
        </is>
      </c>
      <c r="AC148" t="n">
        <v>4</v>
      </c>
      <c r="AD148" t="inlineStr">
        <is>
          <t>No</t>
        </is>
      </c>
      <c r="AE148" t="inlineStr">
        <is>
          <t>FIVB data; derived from SP58B via sex differentials.</t>
        </is>
      </c>
      <c r="AF148" t="inlineStr">
        <is>
          <t>FIVB women's beach volleyball: slightly shorter/lighter than male, same court demands.</t>
        </is>
      </c>
      <c r="AG148" t="inlineStr">
        <is>
          <t>F</t>
        </is>
      </c>
    </row>
    <row r="149">
      <c r="A149" t="inlineStr">
        <is>
          <t>SP59F</t>
        </is>
      </c>
      <c r="B149" t="inlineStr">
        <is>
          <t>Calisthenics</t>
        </is>
      </c>
      <c r="C149" t="inlineStr">
        <is>
          <t>Freestyle / Competition (female)</t>
        </is>
      </c>
      <c r="D149" t="inlineStr">
        <is>
          <t>Strength individual</t>
        </is>
      </c>
      <c r="E149" t="n">
        <v>160</v>
      </c>
      <c r="F149" t="n">
        <v>8</v>
      </c>
      <c r="G149" t="n">
        <v>57</v>
      </c>
      <c r="H149" t="n">
        <v>8</v>
      </c>
      <c r="I149" t="n">
        <v>22.3</v>
      </c>
      <c r="J149" t="n">
        <v>16</v>
      </c>
      <c r="M149" t="n">
        <v>4</v>
      </c>
      <c r="N149" t="n">
        <v>6</v>
      </c>
      <c r="O149" t="n">
        <v>8</v>
      </c>
      <c r="P149" t="n">
        <v>8</v>
      </c>
      <c r="Q149" t="n">
        <v>3</v>
      </c>
      <c r="R149" t="n">
        <v>3</v>
      </c>
      <c r="S149" t="n">
        <v>8</v>
      </c>
      <c r="T149" t="n">
        <v>9</v>
      </c>
      <c r="U149" t="n">
        <v>4</v>
      </c>
      <c r="V149" t="n">
        <v>1</v>
      </c>
      <c r="W149" t="inlineStr">
        <is>
          <t>None</t>
        </is>
      </c>
      <c r="X149" t="inlineStr">
        <is>
          <t>Both</t>
        </is>
      </c>
      <c r="Y149" t="inlineStr">
        <is>
          <t>No</t>
        </is>
      </c>
      <c r="Z149" t="inlineStr">
        <is>
          <t>Low</t>
        </is>
      </c>
      <c r="AA149" t="inlineStr">
        <is>
          <t>10–20</t>
        </is>
      </c>
      <c r="AB149" t="inlineStr">
        <is>
          <t>Low</t>
        </is>
      </c>
      <c r="AC149" t="n">
        <v>6</v>
      </c>
      <c r="AD149" t="inlineStr">
        <is>
          <t>No</t>
        </is>
      </c>
      <c r="AE149" t="inlineStr">
        <is>
          <t>Derived from SP59 via sex differentials (Holway &amp; Sprague 2011).</t>
        </is>
      </c>
      <c r="AF149" t="inlineStr">
        <is>
          <t>Female calisthenics athletes: same relative demand profile, lighter frame.</t>
        </is>
      </c>
      <c r="AG149" t="inlineStr">
        <is>
          <t>F</t>
        </is>
      </c>
    </row>
    <row r="150">
      <c r="A150" t="inlineStr">
        <is>
          <t>SP60F</t>
        </is>
      </c>
      <c r="B150" t="inlineStr">
        <is>
          <t>Mountain Biking</t>
        </is>
      </c>
      <c r="C150" t="inlineStr">
        <is>
          <t>XC / Trail (female)</t>
        </is>
      </c>
      <c r="D150" t="inlineStr">
        <is>
          <t>Endurance individual</t>
        </is>
      </c>
      <c r="E150" t="n">
        <v>161</v>
      </c>
      <c r="F150" t="n">
        <v>7</v>
      </c>
      <c r="G150" t="n">
        <v>57</v>
      </c>
      <c r="H150" t="n">
        <v>7</v>
      </c>
      <c r="I150" t="n">
        <v>22</v>
      </c>
      <c r="J150" t="n">
        <v>17</v>
      </c>
      <c r="M150" t="n">
        <v>9</v>
      </c>
      <c r="N150" t="n">
        <v>6</v>
      </c>
      <c r="O150" t="n">
        <v>4</v>
      </c>
      <c r="P150" t="n">
        <v>6</v>
      </c>
      <c r="Q150" t="n">
        <v>5</v>
      </c>
      <c r="R150" t="n">
        <v>9</v>
      </c>
      <c r="S150" t="n">
        <v>4</v>
      </c>
      <c r="T150" t="n">
        <v>7</v>
      </c>
      <c r="U150" t="n">
        <v>7</v>
      </c>
      <c r="V150" t="n">
        <v>1</v>
      </c>
      <c r="W150" t="inlineStr">
        <is>
          <t>None</t>
        </is>
      </c>
      <c r="X150" t="inlineStr">
        <is>
          <t>Outdoor</t>
        </is>
      </c>
      <c r="Y150" t="inlineStr">
        <is>
          <t>No</t>
        </is>
      </c>
      <c r="Z150" t="inlineStr">
        <is>
          <t>High</t>
        </is>
      </c>
      <c r="AA150" t="inlineStr">
        <is>
          <t>8–18</t>
        </is>
      </c>
      <c r="AB150" t="inlineStr">
        <is>
          <t>Medium</t>
        </is>
      </c>
      <c r="AC150" t="n">
        <v>7</v>
      </c>
      <c r="AD150" t="inlineStr">
        <is>
          <t>Yes</t>
        </is>
      </c>
      <c r="AE150" t="inlineStr">
        <is>
          <t>UCI data; derived from SP60 via sex differentials.</t>
        </is>
      </c>
      <c r="AF150" t="inlineStr">
        <is>
          <t>UCI women's mountain bike: same aerobic + technical demands, lighter frame.</t>
        </is>
      </c>
      <c r="AG150" t="inlineStr">
        <is>
          <t>F</t>
        </is>
      </c>
    </row>
    <row r="151">
      <c r="A151" t="inlineStr">
        <is>
          <t>SP61F</t>
        </is>
      </c>
      <c r="B151" t="inlineStr">
        <is>
          <t>Parkour / Freerunning</t>
        </is>
      </c>
      <c r="C151" t="inlineStr">
        <is>
          <t>Freestyle (female)</t>
        </is>
      </c>
      <c r="D151" t="inlineStr">
        <is>
          <t>Power-skill individual</t>
        </is>
      </c>
      <c r="E151" t="n">
        <v>159</v>
      </c>
      <c r="F151" t="n">
        <v>8</v>
      </c>
      <c r="G151" t="n">
        <v>56</v>
      </c>
      <c r="H151" t="n">
        <v>7</v>
      </c>
      <c r="I151" t="n">
        <v>22.2</v>
      </c>
      <c r="J151" t="n">
        <v>18</v>
      </c>
      <c r="M151" t="n">
        <v>5</v>
      </c>
      <c r="N151" t="n">
        <v>7</v>
      </c>
      <c r="O151" t="n">
        <v>6</v>
      </c>
      <c r="P151" t="n">
        <v>9</v>
      </c>
      <c r="Q151" t="n">
        <v>7</v>
      </c>
      <c r="R151" t="n">
        <v>4</v>
      </c>
      <c r="S151" t="n">
        <v>8</v>
      </c>
      <c r="T151" t="n">
        <v>9</v>
      </c>
      <c r="U151" t="n">
        <v>8</v>
      </c>
      <c r="V151" t="n">
        <v>1</v>
      </c>
      <c r="W151" t="inlineStr">
        <is>
          <t>None</t>
        </is>
      </c>
      <c r="X151" t="inlineStr">
        <is>
          <t>Both</t>
        </is>
      </c>
      <c r="Y151" t="inlineStr">
        <is>
          <t>No</t>
        </is>
      </c>
      <c r="Z151" t="inlineStr">
        <is>
          <t>Low</t>
        </is>
      </c>
      <c r="AA151" t="inlineStr">
        <is>
          <t>8–18</t>
        </is>
      </c>
      <c r="AB151" t="inlineStr">
        <is>
          <t>High</t>
        </is>
      </c>
      <c r="AC151" t="n">
        <v>5</v>
      </c>
      <c r="AD151" t="inlineStr">
        <is>
          <t>No</t>
        </is>
      </c>
      <c r="AE151" t="inlineStr">
        <is>
          <t>Derived from SP61 via sex differentials (Holway &amp; Sprague 2011).</t>
        </is>
      </c>
      <c r="AF151" t="inlineStr">
        <is>
          <t>Parkour has no formal elite standard; female practitioners follow the same skill demand curve.</t>
        </is>
      </c>
      <c r="AG151" t="inlineStr">
        <is>
          <t>F</t>
        </is>
      </c>
    </row>
    <row r="152">
      <c r="A152" t="inlineStr">
        <is>
          <t>SP62F</t>
        </is>
      </c>
      <c r="B152" t="inlineStr">
        <is>
          <t>Hyrox</t>
        </is>
      </c>
      <c r="C152" t="inlineStr">
        <is>
          <t>Individual (female)</t>
        </is>
      </c>
      <c r="D152" t="inlineStr">
        <is>
          <t>Endurance multi</t>
        </is>
      </c>
      <c r="E152" t="n">
        <v>168</v>
      </c>
      <c r="F152" t="n">
        <v>5</v>
      </c>
      <c r="G152" t="n">
        <v>62</v>
      </c>
      <c r="H152" t="n">
        <v>6</v>
      </c>
      <c r="I152" t="n">
        <v>22</v>
      </c>
      <c r="J152" t="n">
        <v>19</v>
      </c>
      <c r="M152" t="n">
        <v>9</v>
      </c>
      <c r="N152" t="n">
        <v>7</v>
      </c>
      <c r="O152" t="n">
        <v>6</v>
      </c>
      <c r="P152" t="n">
        <v>6</v>
      </c>
      <c r="Q152" t="n">
        <v>6</v>
      </c>
      <c r="R152" t="n">
        <v>9</v>
      </c>
      <c r="S152" t="n">
        <v>4</v>
      </c>
      <c r="T152" t="n">
        <v>5</v>
      </c>
      <c r="U152" t="n">
        <v>4</v>
      </c>
      <c r="V152" t="n">
        <v>1</v>
      </c>
      <c r="W152" t="inlineStr">
        <is>
          <t>None</t>
        </is>
      </c>
      <c r="X152" t="inlineStr">
        <is>
          <t>Indoor</t>
        </is>
      </c>
      <c r="Y152" t="inlineStr">
        <is>
          <t>No</t>
        </is>
      </c>
      <c r="Z152" t="inlineStr">
        <is>
          <t>Medium</t>
        </is>
      </c>
      <c r="AA152" t="inlineStr">
        <is>
          <t>16–35</t>
        </is>
      </c>
      <c r="AB152" t="inlineStr">
        <is>
          <t>Medium</t>
        </is>
      </c>
      <c r="AC152" t="n">
        <v>6</v>
      </c>
      <c r="AD152" t="inlineStr">
        <is>
          <t>Yes</t>
        </is>
      </c>
      <c r="AE152" t="inlineStr">
        <is>
          <t>HYROX official race data (2023–2024).</t>
        </is>
      </c>
      <c r="AF152" t="inlineStr">
        <is>
          <t>HYROX female field: aerobic endurance build, slightly lighter than male field. Demands profile identical.</t>
        </is>
      </c>
      <c r="AG152" t="inlineStr">
        <is>
          <t>F</t>
        </is>
      </c>
    </row>
    <row r="153">
      <c r="A153" t="inlineStr">
        <is>
          <t>SP63F</t>
        </is>
      </c>
      <c r="B153" t="inlineStr">
        <is>
          <t>CrossFit</t>
        </is>
      </c>
      <c r="C153" t="inlineStr">
        <is>
          <t>WOD / Competition (female)</t>
        </is>
      </c>
      <c r="D153" t="inlineStr">
        <is>
          <t>Endurance multi</t>
        </is>
      </c>
      <c r="E153" t="n">
        <v>165</v>
      </c>
      <c r="F153" t="n">
        <v>8</v>
      </c>
      <c r="G153" t="n">
        <v>65</v>
      </c>
      <c r="H153" t="n">
        <v>9</v>
      </c>
      <c r="I153" t="n">
        <v>23.9</v>
      </c>
      <c r="J153" t="n">
        <v>18</v>
      </c>
      <c r="M153" t="n">
        <v>8</v>
      </c>
      <c r="N153" t="n">
        <v>8</v>
      </c>
      <c r="O153" t="n">
        <v>8</v>
      </c>
      <c r="P153" t="n">
        <v>8</v>
      </c>
      <c r="Q153" t="n">
        <v>6</v>
      </c>
      <c r="R153" t="n">
        <v>7</v>
      </c>
      <c r="S153" t="n">
        <v>6</v>
      </c>
      <c r="T153" t="n">
        <v>7</v>
      </c>
      <c r="U153" t="n">
        <v>5</v>
      </c>
      <c r="V153" t="n">
        <v>1</v>
      </c>
      <c r="W153" t="inlineStr">
        <is>
          <t>None</t>
        </is>
      </c>
      <c r="X153" t="inlineStr">
        <is>
          <t>Indoor</t>
        </is>
      </c>
      <c r="Y153" t="inlineStr">
        <is>
          <t>No</t>
        </is>
      </c>
      <c r="Z153" t="inlineStr">
        <is>
          <t>Medium</t>
        </is>
      </c>
      <c r="AA153" t="inlineStr">
        <is>
          <t>16–30</t>
        </is>
      </c>
      <c r="AB153" t="inlineStr">
        <is>
          <t>Medium</t>
        </is>
      </c>
      <c r="AC153" t="n">
        <v>8</v>
      </c>
      <c r="AD153" t="inlineStr">
        <is>
          <t>Yes</t>
        </is>
      </c>
      <c r="AE153" t="inlineStr">
        <is>
          <t>Claudino JG et al. (2018) J Hum Kinet; CrossFit Games official data.</t>
        </is>
      </c>
      <c r="AF153" t="inlineStr">
        <is>
          <t>CrossFit Games female: 165–167 cm, 63–68 kg, high lean mass. Claudino et al. (2018) systematic review.</t>
        </is>
      </c>
      <c r="AG153" t="inlineStr">
        <is>
          <t>F</t>
        </is>
      </c>
    </row>
    <row r="154">
      <c r="A154" t="inlineStr">
        <is>
          <t>SP66F</t>
        </is>
      </c>
      <c r="B154" t="inlineStr">
        <is>
          <t>Golf</t>
        </is>
      </c>
      <c r="C154" t="inlineStr">
        <is>
          <t>Competitive (female)</t>
        </is>
      </c>
      <c r="D154" t="inlineStr">
        <is>
          <t>Individual technical</t>
        </is>
      </c>
      <c r="E154" t="n">
        <v>168</v>
      </c>
      <c r="F154" t="n">
        <v>6</v>
      </c>
      <c r="G154" t="n">
        <v>73</v>
      </c>
      <c r="H154" t="n">
        <v>8</v>
      </c>
      <c r="I154" t="n">
        <v>25.9</v>
      </c>
      <c r="J154" t="n">
        <v>19</v>
      </c>
      <c r="M154" t="n">
        <v>3</v>
      </c>
      <c r="N154" t="n">
        <v>3</v>
      </c>
      <c r="O154" t="n">
        <v>5</v>
      </c>
      <c r="P154" t="n">
        <v>7</v>
      </c>
      <c r="Q154" t="n">
        <v>2</v>
      </c>
      <c r="R154" t="n">
        <v>4</v>
      </c>
      <c r="S154" t="n">
        <v>7</v>
      </c>
      <c r="T154" t="n">
        <v>9</v>
      </c>
      <c r="U154" t="n">
        <v>5</v>
      </c>
      <c r="V154" t="n">
        <v>1</v>
      </c>
      <c r="W154" t="inlineStr">
        <is>
          <t>None</t>
        </is>
      </c>
      <c r="X154" t="inlineStr">
        <is>
          <t>Outdoor</t>
        </is>
      </c>
      <c r="Y154" t="inlineStr">
        <is>
          <t>No</t>
        </is>
      </c>
      <c r="Z154" t="inlineStr">
        <is>
          <t>High</t>
        </is>
      </c>
      <c r="AA154" t="inlineStr">
        <is>
          <t>8–16</t>
        </is>
      </c>
      <c r="AB154" t="inlineStr">
        <is>
          <t>Low</t>
        </is>
      </c>
      <c r="AC154" t="n">
        <v>9</v>
      </c>
      <c r="AD154" t="inlineStr">
        <is>
          <t>Yes</t>
        </is>
      </c>
      <c r="AE154" t="inlineStr">
        <is>
          <t>LPGA Tour athlete data; derived from SP66 via sex differentials.</t>
        </is>
      </c>
      <c r="AF154" t="inlineStr">
        <is>
          <t>LPGA Tour: ~167 cm, 63–67 kg typical. Slightly lighter than simple scaling predicts. Same demands.</t>
        </is>
      </c>
      <c r="AG154" t="inlineStr">
        <is>
          <t>F</t>
        </is>
      </c>
    </row>
    <row r="155">
      <c r="A155" t="inlineStr">
        <is>
          <t>SP68F</t>
        </is>
      </c>
      <c r="B155" t="inlineStr">
        <is>
          <t>Cricket</t>
        </is>
      </c>
      <c r="C155" t="inlineStr">
        <is>
          <t>All-rounder (female)</t>
        </is>
      </c>
      <c r="D155" t="inlineStr">
        <is>
          <t>Team field</t>
        </is>
      </c>
      <c r="E155" t="n">
        <v>166</v>
      </c>
      <c r="F155" t="n">
        <v>6</v>
      </c>
      <c r="G155" t="n">
        <v>66</v>
      </c>
      <c r="H155" t="n">
        <v>8</v>
      </c>
      <c r="I155" t="n">
        <v>24</v>
      </c>
      <c r="J155" t="n">
        <v>21</v>
      </c>
      <c r="M155" t="n">
        <v>5</v>
      </c>
      <c r="N155" t="n">
        <v>7</v>
      </c>
      <c r="O155" t="n">
        <v>5</v>
      </c>
      <c r="P155" t="n">
        <v>7</v>
      </c>
      <c r="Q155" t="n">
        <v>6</v>
      </c>
      <c r="R155" t="n">
        <v>5</v>
      </c>
      <c r="S155" t="n">
        <v>5</v>
      </c>
      <c r="T155" t="n">
        <v>8</v>
      </c>
      <c r="U155" t="n">
        <v>8</v>
      </c>
      <c r="V155" t="n">
        <v>11</v>
      </c>
      <c r="W155" t="inlineStr">
        <is>
          <t>None</t>
        </is>
      </c>
      <c r="X155" t="inlineStr">
        <is>
          <t>Outdoor</t>
        </is>
      </c>
      <c r="Y155" t="inlineStr">
        <is>
          <t>No</t>
        </is>
      </c>
      <c r="Z155" t="inlineStr">
        <is>
          <t>Medium</t>
        </is>
      </c>
      <c r="AA155" t="inlineStr">
        <is>
          <t>8–14</t>
        </is>
      </c>
      <c r="AB155" t="inlineStr">
        <is>
          <t>Medium</t>
        </is>
      </c>
      <c r="AC155" t="n">
        <v>6</v>
      </c>
      <c r="AD155" t="inlineStr">
        <is>
          <t>Yes</t>
        </is>
      </c>
      <c r="AE155" t="inlineStr">
        <is>
          <t>ICC official data; derived from SP68 via sex differentials.</t>
        </is>
      </c>
      <c r="AF155" t="inlineStr">
        <is>
          <t>Women's cricket: shorter/lighter, same technical demands (bowling, batting, fielding). ICC Women's data.</t>
        </is>
      </c>
      <c r="AG155" t="inlineStr">
        <is>
          <t>F</t>
        </is>
      </c>
    </row>
    <row r="156">
      <c r="A156" t="inlineStr">
        <is>
          <t>SP69F</t>
        </is>
      </c>
      <c r="B156" t="inlineStr">
        <is>
          <t>Archery</t>
        </is>
      </c>
      <c r="C156" t="inlineStr">
        <is>
          <t>Recurve / compound (female)</t>
        </is>
      </c>
      <c r="D156" t="inlineStr">
        <is>
          <t>Individual technical</t>
        </is>
      </c>
      <c r="E156" t="n">
        <v>161</v>
      </c>
      <c r="F156" t="n">
        <v>8</v>
      </c>
      <c r="G156" t="n">
        <v>62</v>
      </c>
      <c r="H156" t="n">
        <v>9</v>
      </c>
      <c r="I156" t="n">
        <v>23.9</v>
      </c>
      <c r="J156" t="n">
        <v>23</v>
      </c>
      <c r="M156" t="n">
        <v>2</v>
      </c>
      <c r="N156" t="n">
        <v>2</v>
      </c>
      <c r="O156" t="n">
        <v>6</v>
      </c>
      <c r="P156" t="n">
        <v>3</v>
      </c>
      <c r="Q156" t="n">
        <v>1</v>
      </c>
      <c r="R156" t="n">
        <v>5</v>
      </c>
      <c r="S156" t="n">
        <v>5</v>
      </c>
      <c r="T156" t="n">
        <v>9</v>
      </c>
      <c r="U156" t="n">
        <v>6</v>
      </c>
      <c r="V156" t="n">
        <v>1</v>
      </c>
      <c r="W156" t="inlineStr">
        <is>
          <t>None</t>
        </is>
      </c>
      <c r="X156" t="inlineStr">
        <is>
          <t>Both</t>
        </is>
      </c>
      <c r="Y156" t="inlineStr">
        <is>
          <t>No</t>
        </is>
      </c>
      <c r="Z156" t="inlineStr">
        <is>
          <t>Medium</t>
        </is>
      </c>
      <c r="AA156" t="inlineStr">
        <is>
          <t>10–16</t>
        </is>
      </c>
      <c r="AB156" t="inlineStr">
        <is>
          <t>Low</t>
        </is>
      </c>
      <c r="AC156" t="n">
        <v>4</v>
      </c>
      <c r="AD156" t="inlineStr">
        <is>
          <t>No</t>
        </is>
      </c>
      <c r="AE156" t="inlineStr">
        <is>
          <t>World Archery data; derived from SP69 via sex differentials.</t>
        </is>
      </c>
      <c r="AF156" t="inlineStr">
        <is>
          <t>World Archery women's senior: same technical demand structure. Physical profile lighter.</t>
        </is>
      </c>
      <c r="AG156" t="inlineStr">
        <is>
          <t>F</t>
        </is>
      </c>
    </row>
    <row r="157">
      <c r="A157" t="inlineStr">
        <is>
          <t>SP71F</t>
        </is>
      </c>
      <c r="B157" t="inlineStr">
        <is>
          <t>Darts</t>
        </is>
      </c>
      <c r="C157" t="inlineStr">
        <is>
          <t>Professional (female)</t>
        </is>
      </c>
      <c r="D157" t="inlineStr">
        <is>
          <t>Individual technical</t>
        </is>
      </c>
      <c r="E157" t="n">
        <v>161</v>
      </c>
      <c r="F157" t="n">
        <v>12</v>
      </c>
      <c r="G157" t="n">
        <v>69</v>
      </c>
      <c r="H157" t="n">
        <v>15</v>
      </c>
      <c r="I157" t="n">
        <v>26.6</v>
      </c>
      <c r="J157" t="n">
        <v>28</v>
      </c>
      <c r="M157" t="n">
        <v>1</v>
      </c>
      <c r="N157" t="n">
        <v>1</v>
      </c>
      <c r="O157" t="n">
        <v>1</v>
      </c>
      <c r="P157" t="n">
        <v>2</v>
      </c>
      <c r="Q157" t="n">
        <v>1</v>
      </c>
      <c r="R157" t="n">
        <v>2</v>
      </c>
      <c r="S157" t="n">
        <v>3</v>
      </c>
      <c r="T157" t="n">
        <v>9</v>
      </c>
      <c r="U157" t="n">
        <v>7</v>
      </c>
      <c r="V157" t="n">
        <v>1</v>
      </c>
      <c r="W157" t="inlineStr">
        <is>
          <t>None</t>
        </is>
      </c>
      <c r="X157" t="inlineStr">
        <is>
          <t>Indoor</t>
        </is>
      </c>
      <c r="Y157" t="inlineStr">
        <is>
          <t>No</t>
        </is>
      </c>
      <c r="Z157" t="inlineStr">
        <is>
          <t>Low</t>
        </is>
      </c>
      <c r="AA157" t="inlineStr">
        <is>
          <t>14–30</t>
        </is>
      </c>
      <c r="AB157" t="inlineStr">
        <is>
          <t>Low</t>
        </is>
      </c>
      <c r="AC157" t="n">
        <v>8</v>
      </c>
      <c r="AD157" t="inlineStr">
        <is>
          <t>Yes</t>
        </is>
      </c>
      <c r="AE157" t="inlineStr">
        <is>
          <t>PDC Women's Series data; derived from SP71 via sex differentials.</t>
        </is>
      </c>
      <c r="AF157" t="inlineStr">
        <is>
          <t>Women's darts: similar physical profile to male (non-athletic sport). BDO / PDC women's tour.</t>
        </is>
      </c>
      <c r="AG157" t="inlineStr">
        <is>
          <t>F</t>
        </is>
      </c>
    </row>
    <row r="158">
      <c r="A158" t="inlineStr">
        <is>
          <t>SP72F</t>
        </is>
      </c>
      <c r="B158" t="inlineStr">
        <is>
          <t>Lawn bowls</t>
        </is>
      </c>
      <c r="C158" t="inlineStr">
        <is>
          <t>Competitive (female)</t>
        </is>
      </c>
      <c r="D158" t="inlineStr">
        <is>
          <t>Team precision</t>
        </is>
      </c>
      <c r="E158" t="n">
        <v>161</v>
      </c>
      <c r="F158" t="n">
        <v>10</v>
      </c>
      <c r="G158" t="n">
        <v>67</v>
      </c>
      <c r="H158" t="n">
        <v>12</v>
      </c>
      <c r="I158" t="n">
        <v>25.8</v>
      </c>
      <c r="J158" t="n">
        <v>27</v>
      </c>
      <c r="M158" t="n">
        <v>2</v>
      </c>
      <c r="N158" t="n">
        <v>1</v>
      </c>
      <c r="O158" t="n">
        <v>2</v>
      </c>
      <c r="P158" t="n">
        <v>3</v>
      </c>
      <c r="Q158" t="n">
        <v>1</v>
      </c>
      <c r="R158" t="n">
        <v>3</v>
      </c>
      <c r="S158" t="n">
        <v>5</v>
      </c>
      <c r="T158" t="n">
        <v>9</v>
      </c>
      <c r="U158" t="n">
        <v>4</v>
      </c>
      <c r="V158" t="n">
        <v>4</v>
      </c>
      <c r="W158" t="inlineStr">
        <is>
          <t>None</t>
        </is>
      </c>
      <c r="X158" t="inlineStr">
        <is>
          <t>Outdoor</t>
        </is>
      </c>
      <c r="Y158" t="inlineStr">
        <is>
          <t>No</t>
        </is>
      </c>
      <c r="Z158" t="inlineStr">
        <is>
          <t>Low</t>
        </is>
      </c>
      <c r="AA158" t="inlineStr">
        <is>
          <t>16+</t>
        </is>
      </c>
      <c r="AB158" t="inlineStr">
        <is>
          <t>Low</t>
        </is>
      </c>
      <c r="AC158" t="n">
        <v>6</v>
      </c>
      <c r="AD158" t="inlineStr">
        <is>
          <t>Yes</t>
        </is>
      </c>
      <c r="AE158" t="inlineStr">
        <is>
          <t>World Bowls data; derived from SP72 via sex differentials.</t>
        </is>
      </c>
      <c r="AF158" t="inlineStr">
        <is>
          <t>Women's lawn bowls: similar demands and profile. Bowls NZ / Bowls England women's competitions.</t>
        </is>
      </c>
      <c r="AG158" t="inlineStr">
        <is>
          <t>F</t>
        </is>
      </c>
    </row>
    <row r="159">
      <c r="A159" t="inlineStr">
        <is>
          <t>SP74F</t>
        </is>
      </c>
      <c r="B159" t="inlineStr">
        <is>
          <t>Karate</t>
        </is>
      </c>
      <c r="C159" t="inlineStr">
        <is>
          <t>Kumite (female elite)</t>
        </is>
      </c>
      <c r="D159" t="inlineStr">
        <is>
          <t>Combat striking</t>
        </is>
      </c>
      <c r="E159" t="n">
        <v>161</v>
      </c>
      <c r="F159" t="n">
        <v>6</v>
      </c>
      <c r="G159" t="n">
        <v>62</v>
      </c>
      <c r="H159" t="n">
        <v>7</v>
      </c>
      <c r="I159" t="n">
        <v>23.9</v>
      </c>
      <c r="J159" t="n">
        <v>16</v>
      </c>
      <c r="M159" t="n">
        <v>6</v>
      </c>
      <c r="N159" t="n">
        <v>8</v>
      </c>
      <c r="O159" t="n">
        <v>5</v>
      </c>
      <c r="P159" t="n">
        <v>8</v>
      </c>
      <c r="Q159" t="n">
        <v>8</v>
      </c>
      <c r="R159" t="n">
        <v>5</v>
      </c>
      <c r="S159" t="n">
        <v>7</v>
      </c>
      <c r="T159" t="n">
        <v>9</v>
      </c>
      <c r="U159" t="n">
        <v>9</v>
      </c>
      <c r="V159" t="n">
        <v>1</v>
      </c>
      <c r="W159" t="inlineStr">
        <is>
          <t>Light</t>
        </is>
      </c>
      <c r="X159" t="inlineStr">
        <is>
          <t>Indoor</t>
        </is>
      </c>
      <c r="Y159" t="inlineStr">
        <is>
          <t>No</t>
        </is>
      </c>
      <c r="Z159" t="inlineStr">
        <is>
          <t>Low</t>
        </is>
      </c>
      <c r="AA159" t="inlineStr">
        <is>
          <t>6–12</t>
        </is>
      </c>
      <c r="AB159" t="inlineStr">
        <is>
          <t>Low</t>
        </is>
      </c>
      <c r="AC159" t="n">
        <v>5</v>
      </c>
      <c r="AD159" t="inlineStr">
        <is>
          <t>Yes</t>
        </is>
      </c>
      <c r="AE159" t="inlineStr">
        <is>
          <t>World Karate Federation data; derived from SP74 via sex differentials.</t>
        </is>
      </c>
      <c r="AF159" t="inlineStr">
        <is>
          <t>WKF women's kumite: lighter, shorter than male. Same speed-reaction-technique demand profile.</t>
        </is>
      </c>
      <c r="AG159" t="inlineStr">
        <is>
          <t>F</t>
        </is>
      </c>
    </row>
    <row r="160">
      <c r="A160" t="inlineStr">
        <is>
          <t>SP75F</t>
        </is>
      </c>
      <c r="B160" t="inlineStr">
        <is>
          <t>Muay Thai</t>
        </is>
      </c>
      <c r="C160" t="inlineStr">
        <is>
          <t>Professional (light–flyweight, female)</t>
        </is>
      </c>
      <c r="D160" t="inlineStr">
        <is>
          <t>Combat striking</t>
        </is>
      </c>
      <c r="E160" t="n">
        <v>158</v>
      </c>
      <c r="F160" t="n">
        <v>6</v>
      </c>
      <c r="G160" t="n">
        <v>57</v>
      </c>
      <c r="H160" t="n">
        <v>7</v>
      </c>
      <c r="I160" t="n">
        <v>22.8</v>
      </c>
      <c r="J160" t="n">
        <v>16</v>
      </c>
      <c r="M160" t="n">
        <v>8</v>
      </c>
      <c r="N160" t="n">
        <v>8</v>
      </c>
      <c r="O160" t="n">
        <v>5</v>
      </c>
      <c r="P160" t="n">
        <v>8</v>
      </c>
      <c r="Q160" t="n">
        <v>7</v>
      </c>
      <c r="R160" t="n">
        <v>7</v>
      </c>
      <c r="S160" t="n">
        <v>6</v>
      </c>
      <c r="T160" t="n">
        <v>8</v>
      </c>
      <c r="U160" t="n">
        <v>8</v>
      </c>
      <c r="V160" t="n">
        <v>1</v>
      </c>
      <c r="W160" t="inlineStr">
        <is>
          <t>Heavy</t>
        </is>
      </c>
      <c r="X160" t="inlineStr">
        <is>
          <t>Indoor</t>
        </is>
      </c>
      <c r="Y160" t="inlineStr">
        <is>
          <t>No</t>
        </is>
      </c>
      <c r="Z160" t="inlineStr">
        <is>
          <t>Low</t>
        </is>
      </c>
      <c r="AA160" t="inlineStr">
        <is>
          <t>10–18</t>
        </is>
      </c>
      <c r="AB160" t="inlineStr">
        <is>
          <t>High</t>
        </is>
      </c>
      <c r="AC160" t="n">
        <v>6</v>
      </c>
      <c r="AD160" t="inlineStr">
        <is>
          <t>Yes</t>
        </is>
      </c>
      <c r="AE160" t="inlineStr">
        <is>
          <t>WBKF / IFMA data; derived from SP75 via sex differentials.</t>
        </is>
      </c>
      <c r="AF160" t="inlineStr">
        <is>
          <t>Female Muay Thai pros: lighter weight classes dominate. Same striking-dominant demand profile.</t>
        </is>
      </c>
      <c r="AG160" t="inlineStr">
        <is>
          <t>F</t>
        </is>
      </c>
    </row>
  </sheetData>
  <mergeCells count="6">
    <mergeCell ref="A1:D1"/>
    <mergeCell ref="E1:L1"/>
    <mergeCell ref="AC1:AD1"/>
    <mergeCell ref="M1:U1"/>
    <mergeCell ref="AE1:AF1"/>
    <mergeCell ref="V1:A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E10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2" customWidth="1" style="36" min="1" max="1"/>
    <col width="65" customWidth="1" style="36" min="2" max="2"/>
    <col width="22" customWidth="1" style="36" min="3" max="3"/>
    <col width="55" customWidth="1" style="36" min="4" max="4"/>
    <col width="40" customWidth="1" style="36" min="5" max="5"/>
  </cols>
  <sheetData>
    <row r="1" ht="24" customHeight="1" s="37">
      <c r="A1" s="53" t="inlineStr">
        <is>
          <t>Source ID</t>
        </is>
      </c>
      <c r="B1" s="53" t="inlineStr">
        <is>
          <t>Citation</t>
        </is>
      </c>
      <c r="C1" s="53" t="inlineStr">
        <is>
          <t>Type</t>
        </is>
      </c>
      <c r="D1" s="53" t="inlineStr">
        <is>
          <t>URL</t>
        </is>
      </c>
      <c r="E1" s="53" t="inlineStr">
        <is>
          <t>Notes</t>
        </is>
      </c>
    </row>
    <row r="2" ht="55.5" customHeight="1" s="37">
      <c r="A2" s="50" t="inlineStr">
        <is>
          <t>S01</t>
        </is>
      </c>
      <c r="B2" s="50" t="inlineStr">
        <is>
          <t>Nikolaidis PT, Ruano MAG, de Oliveira NC, et al. (2021). Body Composition in Elite Soccer Players from Youth to Senior Squad. Int J Environ Res Public Health, 18(9):4982.</t>
        </is>
      </c>
      <c r="C2" s="50" t="inlineStr">
        <is>
          <t>Peer-reviewed journal</t>
        </is>
      </c>
      <c r="D2" s="50" t="inlineStr">
        <is>
          <t>https://pmc.ncbi.nlm.nih.gov/articles/PMC8125322/</t>
        </is>
      </c>
      <c r="E2" s="50" t="inlineStr">
        <is>
          <t>Soccer — height/weight by age group U15 to senior.</t>
        </is>
      </c>
    </row>
    <row r="3" ht="55.5" customHeight="1" s="37">
      <c r="A3" s="50" t="inlineStr">
        <is>
          <t>S02</t>
        </is>
      </c>
      <c r="B3" s="50" t="inlineStr">
        <is>
          <t>Hernández-Mosqueira C, Fernandes da Silva S, et al. (2019). Anthropometric characteristics and somatotype of professional soccer players by position. J Sports Med Therapy.</t>
        </is>
      </c>
      <c r="C3" s="50" t="inlineStr">
        <is>
          <t>Peer-reviewed journal</t>
        </is>
      </c>
      <c r="D3" s="50" t="inlineStr">
        <is>
          <t>https://www.sportsmedoa.com/journals/jsmt/jsmt-aid1047.php</t>
        </is>
      </c>
      <c r="E3" s="50" t="inlineStr">
        <is>
          <t>Soccer — La Liga sample, position breakdown.</t>
        </is>
      </c>
    </row>
    <row r="4" ht="55.5" customHeight="1" s="37">
      <c r="A4" s="50" t="inlineStr">
        <is>
          <t>S03</t>
        </is>
      </c>
      <c r="B4" s="50" t="inlineStr">
        <is>
          <t>Pehar M, Sekulic D, et al. (2017). Anthropometric and physical performance profiles of elite-junior basketball players. NCBI / various.</t>
        </is>
      </c>
      <c r="C4" s="50" t="inlineStr">
        <is>
          <t>Peer-reviewed review</t>
        </is>
      </c>
      <c r="D4" s="50" t="inlineStr">
        <is>
          <t>https://www.researchgate.net/publication/366123760_ANTHROPOMETRIC_PROFILE_OF_ELITE_U16_BASKETBALL_PLAYERS</t>
        </is>
      </c>
      <c r="E4" s="50" t="inlineStr">
        <is>
          <t>Basketball — junior elite, position breakdown.</t>
        </is>
      </c>
    </row>
    <row r="5" ht="55.5" customHeight="1" s="37">
      <c r="A5" s="50" t="inlineStr">
        <is>
          <t>S04</t>
        </is>
      </c>
      <c r="B5" s="50" t="inlineStr">
        <is>
          <t>Gatorade Sports Science Institute. Physiologic Profile of Basketball Athletes.</t>
        </is>
      </c>
      <c r="C5" s="50" t="inlineStr">
        <is>
          <t>Industry / institute review</t>
        </is>
      </c>
      <c r="D5" s="50" t="inlineStr">
        <is>
          <t>https://www.gssiweb.org/sports-science-exchange/article/physiologic-profile-of-basketball-athletes</t>
        </is>
      </c>
      <c r="E5" s="50" t="inlineStr">
        <is>
          <t>Basketball — NBA draft combine summary table.</t>
        </is>
      </c>
    </row>
    <row r="6" ht="55.5" customHeight="1" s="37">
      <c r="A6" s="50" t="inlineStr">
        <is>
          <t>S05</t>
        </is>
      </c>
      <c r="B6" s="50" t="inlineStr">
        <is>
          <t>Lines.com (2026). What Is The Average Height Of NBA Players in 2026?</t>
        </is>
      </c>
      <c r="C6" s="50" t="inlineStr">
        <is>
          <t>Industry data summary</t>
        </is>
      </c>
      <c r="D6" s="50" t="inlineStr">
        <is>
          <t>https://www.lines.com/guides/average-height-nba-players/1519</t>
        </is>
      </c>
      <c r="E6" s="50" t="inlineStr">
        <is>
          <t>Basketball — NBA league-wide mean height 198.6 cm.</t>
        </is>
      </c>
    </row>
    <row r="7" ht="55.5" customHeight="1" s="37">
      <c r="A7" s="50" t="inlineStr">
        <is>
          <t>S06</t>
        </is>
      </c>
      <c r="B7" s="50" t="inlineStr">
        <is>
          <t>Epstein D, via Shortform summary. The Sports Gene — basketball anthropometrics. NBA mean wingspan-to-height ratio 1.063.</t>
        </is>
      </c>
      <c r="C7" s="50" t="inlineStr">
        <is>
          <t>Popular science (cites primary research)</t>
        </is>
      </c>
      <c r="D7" s="50" t="inlineStr">
        <is>
          <t>https://www.shortform.com/blog/basketball-player-body-type/</t>
        </is>
      </c>
      <c r="E7" s="50" t="inlineStr">
        <is>
          <t>Basketball — wingspan/height ratio.</t>
        </is>
      </c>
    </row>
    <row r="8" ht="55.5" customHeight="1" s="37">
      <c r="A8" s="50" t="inlineStr">
        <is>
          <t>S07</t>
        </is>
      </c>
      <c r="B8" s="50" t="inlineStr">
        <is>
          <t>Legaz Arrese A, González Badillo JJ, Serrano Ostáriz E. (2005, et seq.) Anthropometric Characteristics, Body Composition and Somatotype of Elite Male Young Runners. Int J Environ Res Public Health 17(3):764.</t>
        </is>
      </c>
      <c r="C8" s="50" t="inlineStr">
        <is>
          <t>Peer-reviewed journal</t>
        </is>
      </c>
      <c r="D8" s="50" t="inlineStr">
        <is>
          <t>https://pmc.ncbi.nlm.nih.gov/articles/PMC7013868/</t>
        </is>
      </c>
      <c r="E8" s="50" t="inlineStr">
        <is>
          <t>Distance running — MDR vs LDR profiles.</t>
        </is>
      </c>
    </row>
    <row r="9" ht="55.5" customHeight="1" s="37">
      <c r="A9" s="50" t="inlineStr">
        <is>
          <t>S08</t>
        </is>
      </c>
      <c r="B9" s="50" t="inlineStr">
        <is>
          <t>Marathon Handbook (2026). Marathon Runner Body: Ideal Physique. Citing Hoogkamer et al. (2017) Sports Med 47(9) and Hewitt et al. (2018) J Strength Cond Res 32(4).</t>
        </is>
      </c>
      <c r="C9" s="50" t="inlineStr">
        <is>
          <t>Industry summary citing peer-reviewed primary</t>
        </is>
      </c>
      <c r="D9" s="50" t="inlineStr">
        <is>
          <t>https://marathonhandbook.com/whats-the-ideal-marathon-runner-body/</t>
        </is>
      </c>
      <c r="E9" s="50" t="inlineStr">
        <is>
          <t>Distance running — male/female elite range.</t>
        </is>
      </c>
    </row>
    <row r="10" ht="55.5" customHeight="1" s="37">
      <c r="A10" s="50" t="inlineStr">
        <is>
          <t>S09</t>
        </is>
      </c>
      <c r="B10" s="50" t="inlineStr">
        <is>
          <t>Morgan DW et al. (1995). Relationship between VO2max and the aerobic demand of running in elite distance runners. PubMed 8002123.</t>
        </is>
      </c>
      <c r="C10" s="50" t="inlineStr">
        <is>
          <t>Peer-reviewed journal</t>
        </is>
      </c>
      <c r="D10" s="50" t="inlineStr">
        <is>
          <t>https://pubmed.ncbi.nlm.nih.gov/8002123/</t>
        </is>
      </c>
      <c r="E10" s="50" t="inlineStr">
        <is>
          <t>Distance running — 1994 Olympic trials cohort, VO2max ~75.8 ml/kg/min.</t>
        </is>
      </c>
    </row>
    <row r="11" ht="55.5" customHeight="1" s="37">
      <c r="A11" s="50" t="inlineStr">
        <is>
          <t>S10</t>
        </is>
      </c>
      <c r="B11" s="50" t="inlineStr">
        <is>
          <t>Cebrián-Ponce A et al. (2023). Bioelectrical, Anthropometric, and Hematological Analysis to Assess Body Fluids and Muscle Changes in Elite Cyclists during the Giro d'Italia. Biology 12:450.</t>
        </is>
      </c>
      <c r="C11" s="50" t="inlineStr">
        <is>
          <t>Peer-reviewed journal</t>
        </is>
      </c>
      <c r="D11" s="50" t="inlineStr">
        <is>
          <t>https://www.ncbi.nlm.nih.gov/pmc/articles/PMC10295572/</t>
        </is>
      </c>
      <c r="E11" s="50" t="inlineStr">
        <is>
          <t>Cycling — Giro d'Italia pro peloton, body mass 70.5 kg, BMI 21.4.</t>
        </is>
      </c>
    </row>
    <row r="12" ht="55.5" customHeight="1" s="37">
      <c r="A12" s="50" t="inlineStr">
        <is>
          <t>S11</t>
        </is>
      </c>
      <c r="B12" s="50" t="inlineStr">
        <is>
          <t>Sánchez-Muñoz C et al. (2023). Anthropometric Characteristics of Road Cyclists of Different Performance Levels. Appl Sci 13(1):224.</t>
        </is>
      </c>
      <c r="C12" s="50" t="inlineStr">
        <is>
          <t>Peer-reviewed journal</t>
        </is>
      </c>
      <c r="D12" s="50" t="inlineStr">
        <is>
          <t>https://www.mdpi.com/2076-3417/13/1/224</t>
        </is>
      </c>
      <c r="E12" s="50" t="inlineStr">
        <is>
          <t>Cycling — pro vs trained vs recreational comparison.</t>
        </is>
      </c>
    </row>
    <row r="13" ht="55.5" customHeight="1" s="37">
      <c r="A13" s="50" t="inlineStr">
        <is>
          <t>S12</t>
        </is>
      </c>
      <c r="B13" s="50" t="inlineStr">
        <is>
          <t>Foley JP, Bird SR, White JA. (1989). An anthropometric analysis of elite Australian track cyclists. J Sports Sci. PubMed 2621762.</t>
        </is>
      </c>
      <c r="C13" s="50" t="inlineStr">
        <is>
          <t>Peer-reviewed journal</t>
        </is>
      </c>
      <c r="D13" s="50" t="inlineStr">
        <is>
          <t>https://pubmed.ncbi.nlm.nih.gov/2621762/</t>
        </is>
      </c>
      <c r="E13" s="50" t="inlineStr">
        <is>
          <t>Cycling — Australian track team, 178 ± 4.8 cm / 72.5 ± 6.6 kg.</t>
        </is>
      </c>
    </row>
    <row r="14" ht="55.5" customHeight="1" s="37">
      <c r="A14" s="50" t="inlineStr">
        <is>
          <t>S13</t>
        </is>
      </c>
      <c r="B14" s="50" t="inlineStr">
        <is>
          <t>Daly D. Swimmer Body Composition. Citing modern male elite mean 183.8 cm / 78.4 kg / ~8% BF.</t>
        </is>
      </c>
      <c r="C14" s="50" t="inlineStr">
        <is>
          <t>Industry summary citing peer-reviewed primary</t>
        </is>
      </c>
      <c r="D14" s="50" t="inlineStr">
        <is>
          <t>https://www.traindaly.com/train-daly/blog/swimmerbodycomposition</t>
        </is>
      </c>
      <c r="E14" s="50" t="inlineStr">
        <is>
          <t>Swimming — modern male elite means.</t>
        </is>
      </c>
    </row>
    <row r="15" ht="55.5" customHeight="1" s="37">
      <c r="A15" s="50" t="inlineStr">
        <is>
          <t>S14</t>
        </is>
      </c>
      <c r="B15" s="50" t="inlineStr">
        <is>
          <t>VanHeest JL et al. (2018). Anthropometric Profiles of Elite Open-Water Swimmers. Int J Sports Physiol Perform 13(1):115. PubMed 28459314.</t>
        </is>
      </c>
      <c r="C15" s="50" t="inlineStr">
        <is>
          <t>Peer-reviewed journal</t>
        </is>
      </c>
      <c r="D15" s="50" t="inlineStr">
        <is>
          <t>https://pubmed.ncbi.nlm.nih.gov/28459314/</t>
        </is>
      </c>
      <c r="E15" s="50" t="inlineStr">
        <is>
          <t>Swimming — open water elite, French vs Australian samples.</t>
        </is>
      </c>
    </row>
    <row r="16" ht="55.5" customHeight="1" s="37">
      <c r="A16" s="50" t="inlineStr">
        <is>
          <t>S15</t>
        </is>
      </c>
      <c r="B16" s="50" t="inlineStr">
        <is>
          <t>TopEndSports. Anthropometry for Swimming. Olympic Games 2012 aquatic athletes summary.</t>
        </is>
      </c>
      <c r="C16" s="50" t="inlineStr">
        <is>
          <t>Aggregator citing official data</t>
        </is>
      </c>
      <c r="D16" s="50" t="inlineStr">
        <is>
          <t>https://www.topendsports.com/sport/swimming/anthropometry.htm</t>
        </is>
      </c>
      <c r="E16" s="50" t="inlineStr">
        <is>
          <t>Swimming — Olympic 2012 height/weight comparison.</t>
        </is>
      </c>
    </row>
    <row r="17" ht="55.5" customHeight="1" s="37">
      <c r="A17" s="50" t="inlineStr">
        <is>
          <t>S16</t>
        </is>
      </c>
      <c r="B17" s="50" t="inlineStr">
        <is>
          <t>Brazier J, Antrobus M, Stebbings GK, et al. (2020). Anthropometric and Physiological Characteristics of Elite Male Rugby Athletes. J Strength Cond Res 34(6):1790–1801.</t>
        </is>
      </c>
      <c r="C17" s="50" t="inlineStr">
        <is>
          <t>Peer-reviewed review</t>
        </is>
      </c>
      <c r="D17" s="50" t="inlineStr">
        <is>
          <t>https://journals.lww.com/nsca-jscr/fulltext/2020/06000/anthropometric_and_physiological_characteristics.35.aspx</t>
        </is>
      </c>
      <c r="E17" s="50" t="inlineStr">
        <is>
          <t>Rugby — RU forwards ~111 kg / backs ~93 kg; BF 15% / 12%.</t>
        </is>
      </c>
    </row>
    <row r="18" ht="55.5" customHeight="1" s="37">
      <c r="A18" s="50" t="inlineStr">
        <is>
          <t>S17</t>
        </is>
      </c>
      <c r="B18" s="50" t="inlineStr">
        <is>
          <t>Zemková E, et al. (2020). Physical and Fitness Characteristics of Elite Professional Rugby Union Players. NCBI PMC7353640.</t>
        </is>
      </c>
      <c r="C18" s="50" t="inlineStr">
        <is>
          <t>Peer-reviewed journal</t>
        </is>
      </c>
      <c r="D18" s="50" t="inlineStr">
        <is>
          <t>https://www.ncbi.nlm.nih.gov/pmc/articles/PMC7353640/</t>
        </is>
      </c>
      <c r="E18" s="50" t="inlineStr">
        <is>
          <t>Rugby — NZ Super Rugby DXA sample.</t>
        </is>
      </c>
    </row>
    <row r="19" ht="55.5" customHeight="1" s="37">
      <c r="A19" s="50" t="inlineStr">
        <is>
          <t>S18</t>
        </is>
      </c>
      <c r="B19" s="50" t="inlineStr">
        <is>
          <t>Sands WA et al. (2008). Anthropometric characteristics evolution in elite rhythmic gymnasts. PubMed 18491452.</t>
        </is>
      </c>
      <c r="C19" s="50" t="inlineStr">
        <is>
          <t>Peer-reviewed journal</t>
        </is>
      </c>
      <c r="D19" s="50" t="inlineStr">
        <is>
          <t>https://pubmed.ncbi.nlm.nih.gov/18491452/</t>
        </is>
      </c>
      <c r="E19" s="50" t="inlineStr">
        <is>
          <t>Gymnastics — rhythmic gymnasts junior/senior.</t>
        </is>
      </c>
    </row>
    <row r="20" ht="55.5" customHeight="1" s="37">
      <c r="A20" s="50" t="inlineStr">
        <is>
          <t>S19</t>
        </is>
      </c>
      <c r="B20" s="50" t="inlineStr">
        <is>
          <t>Bačanac et al. (2021). Body Composition, Dietary Intake and the Risk of Low Energy Availability in Elite-Level Competitive Rhythmic Gymnasts. Nutrients 13(6):2083.</t>
        </is>
      </c>
      <c r="C20" s="50" t="inlineStr">
        <is>
          <t>Peer-reviewed journal</t>
        </is>
      </c>
      <c r="D20" s="50" t="inlineStr">
        <is>
          <t>https://www.mdpi.com/2072-6643/13/6/2083</t>
        </is>
      </c>
      <c r="E20" s="50" t="inlineStr">
        <is>
          <t>Gymnastics — teen elite (13–18) mean body fat ~14%.</t>
        </is>
      </c>
    </row>
    <row r="21" ht="55.5" customHeight="1" s="37">
      <c r="A21" s="50" t="inlineStr">
        <is>
          <t>S20</t>
        </is>
      </c>
      <c r="B21" s="50" t="inlineStr">
        <is>
          <t>Žagar D et al. (2021). Body Composition, Training Volume/Pattern and Injury Status of Slovenian Adolescent Female High-Performance Gymnasts. PMC7923138.</t>
        </is>
      </c>
      <c r="C21" s="50" t="inlineStr">
        <is>
          <t>Peer-reviewed journal</t>
        </is>
      </c>
      <c r="D21" s="50" t="inlineStr">
        <is>
          <t>https://www.ncbi.nlm.nih.gov/pmc/articles/PMC7923138/</t>
        </is>
      </c>
      <c r="E21" s="50" t="inlineStr">
        <is>
          <t>Gymnastics — female national/international, 159.8 ± 6.2 cm / 54.8 ± 5.3 kg.</t>
        </is>
      </c>
    </row>
    <row r="22" ht="55.5" customHeight="1" s="37">
      <c r="A22" s="50" t="inlineStr">
        <is>
          <t>S21</t>
        </is>
      </c>
      <c r="B22" s="50" t="inlineStr">
        <is>
          <t>Bourgois JG et al. (2000). Anthropometric characteristics of elite male junior rowers. Br J Sports Med — FISA Junior World Champs cohort (1997).</t>
        </is>
      </c>
      <c r="C22" s="50" t="inlineStr">
        <is>
          <t>Peer-reviewed journal</t>
        </is>
      </c>
      <c r="D22" s="50" t="inlineStr">
        <is>
          <t>https://www.academia.edu/8825291/Anthropometric_characteristics_of_elite_male_junior_rowers</t>
        </is>
      </c>
      <c r="E22" s="50" t="inlineStr">
        <is>
          <t>Rowing — 187.4 ± 5.8 cm / 82.2 ± 7.4 kg, junior elite.</t>
        </is>
      </c>
    </row>
    <row r="23" ht="55.5" customHeight="1" s="37">
      <c r="A23" s="50" t="inlineStr">
        <is>
          <t>S22</t>
        </is>
      </c>
      <c r="B23" s="50" t="inlineStr">
        <is>
          <t>Otero-Esquina C et al. (2018). Anthropometric profile, body composition and somatotype in elite traditional rowers. Rev Esp Nutr Hum Diet 22(4).</t>
        </is>
      </c>
      <c r="C23" s="50" t="inlineStr">
        <is>
          <t>Peer-reviewed journal</t>
        </is>
      </c>
      <c r="D23" s="50" t="inlineStr">
        <is>
          <t>https://doaj.org/article/6e0dc9636c5046a3a0abe43ae1f08acd</t>
        </is>
      </c>
      <c r="E23" s="50" t="inlineStr">
        <is>
          <t>Rowing — wingspan 189 ± 5.8 cm, BF ~8% Carter.</t>
        </is>
      </c>
    </row>
    <row r="24" ht="55.5" customHeight="1" s="37">
      <c r="A24" s="50" t="inlineStr">
        <is>
          <t>S23</t>
        </is>
      </c>
      <c r="B24" s="50" t="inlineStr">
        <is>
          <t>Kovacs MS et al. (2015, summarised in Studia Sportiva 2025). Body Height Development Among Successful Elite Tennis Players (2004–2023).</t>
        </is>
      </c>
      <c r="C24" s="50" t="inlineStr">
        <is>
          <t>Peer-reviewed journal</t>
        </is>
      </c>
      <c r="D24" s="50" t="inlineStr">
        <is>
          <t>https://www.researchgate.net/publication/393161580_Body_Height_Development_Among_Successful_Elite_Tennis_Players_2004-2023</t>
        </is>
      </c>
      <c r="E24" s="50" t="inlineStr">
        <is>
          <t>Tennis — ATP top-10 height range 175–198 cm.</t>
        </is>
      </c>
    </row>
    <row r="25" ht="55.5" customHeight="1" s="37">
      <c r="A25" s="50" t="inlineStr">
        <is>
          <t>S24</t>
        </is>
      </c>
      <c r="B25" s="50" t="inlineStr">
        <is>
          <t>Hernández-Davó JL et al. (2022). Influence of anthropometric, ball impact and landing location parameters on serve velocity in elite tennis competition. PMC9806764.</t>
        </is>
      </c>
      <c r="C25" s="50" t="inlineStr">
        <is>
          <t>Peer-reviewed journal</t>
        </is>
      </c>
      <c r="D25" s="50" t="inlineStr">
        <is>
          <t>https://www.ncbi.nlm.nih.gov/pmc/articles/PMC9806764/</t>
        </is>
      </c>
      <c r="E25" s="50" t="inlineStr">
        <is>
          <t>Tennis — ATP players 186.9 ± 7.4 cm / 81.6 ± 7.1 kg / BMI 23.4.</t>
        </is>
      </c>
    </row>
    <row r="26" ht="55.5" customHeight="1" s="37">
      <c r="A26" s="50" t="inlineStr">
        <is>
          <t>S25</t>
        </is>
      </c>
      <c r="B26" s="50" t="inlineStr">
        <is>
          <t>Cullen BD et al. (2018). Positional Anthropometric and Performance Profile of Elite Gaelic Football Players. J Strength Cond Res. PubMed 28658081.</t>
        </is>
      </c>
      <c r="C26" s="50" t="inlineStr">
        <is>
          <t>Peer-reviewed journal</t>
        </is>
      </c>
      <c r="D26" s="50" t="inlineStr">
        <is>
          <t>https://journals.lww.com/nsca-jscr/fulltext/2018/08000/positional_anthropometric_and_performance_profile.30.aspx</t>
        </is>
      </c>
      <c r="E26" s="50" t="inlineStr">
        <is>
          <t>Gaelic football — 148 elite inter-county footballers.</t>
        </is>
      </c>
    </row>
    <row r="27" ht="55.5" customHeight="1" s="37">
      <c r="A27" s="50" t="inlineStr">
        <is>
          <t>S26</t>
        </is>
      </c>
      <c r="B27" s="50" t="inlineStr">
        <is>
          <t>Elevate Performance. The Science Behind The Modern GAA Athlete. Summarising Cullen 2018, Reilly et al., and contemporary GAA sport-science literature.</t>
        </is>
      </c>
      <c r="C27" s="50" t="inlineStr">
        <is>
          <t>Industry summary citing peer-reviewed primary</t>
        </is>
      </c>
      <c r="D27" s="50" t="inlineStr">
        <is>
          <t>https://elevateperformance.ie/the-science-behind-the-modern-gaa-athlete/</t>
        </is>
      </c>
      <c r="E27" s="50" t="inlineStr">
        <is>
          <t>Gaelic football — elite range 178–187 cm / 81.0–83.6 kg.</t>
        </is>
      </c>
    </row>
    <row r="28" ht="55.5" customHeight="1" s="37">
      <c r="A28" s="50" t="inlineStr">
        <is>
          <t>S27</t>
        </is>
      </c>
      <c r="B28" s="50" t="inlineStr">
        <is>
          <t>Mackala K, Mero A (2013). A Kinematics Analysis Of Three Best 100 M Performances Ever. J Hum Kinet. PMC3661886.</t>
        </is>
      </c>
      <c r="C28" s="50" t="inlineStr">
        <is>
          <t>Peer-reviewed journal</t>
        </is>
      </c>
      <c r="D28" s="50" t="inlineStr">
        <is>
          <t>https://www.ncbi.nlm.nih.gov/pmc/articles/PMC3661886/</t>
        </is>
      </c>
      <c r="E28" s="50" t="inlineStr">
        <is>
          <t>Sprinting — Olympic/WC 100m finalists 176–179 cm / 77–80 kg; Bolt 196 cm / 93 kg.</t>
        </is>
      </c>
    </row>
    <row r="29" ht="55.5" customHeight="1" s="37">
      <c r="A29" s="50" t="inlineStr">
        <is>
          <t>S28</t>
        </is>
      </c>
      <c r="B29" s="50" t="inlineStr">
        <is>
          <t>Lockie RG et al. (2021). Relationship between anthropometric and kinematic measures to practice velocity in elite American 100 m sprinters. PMC8580521.</t>
        </is>
      </c>
      <c r="C29" s="50" t="inlineStr">
        <is>
          <t>Peer-reviewed journal</t>
        </is>
      </c>
      <c r="D29" s="50" t="inlineStr">
        <is>
          <t>https://www.ncbi.nlm.nih.gov/pmc/articles/PMC8580521/</t>
        </is>
      </c>
      <c r="E29" s="50" t="inlineStr">
        <is>
          <t>Sprinting — US elite 100m, 173 ± 8 cm / 69.3 ± 10 kg / BMI 23.1.</t>
        </is>
      </c>
    </row>
    <row r="30" ht="55.5" customHeight="1" s="37">
      <c r="A30" s="50" t="inlineStr">
        <is>
          <t>S29</t>
        </is>
      </c>
      <c r="B30" s="50" t="inlineStr">
        <is>
          <t>Tomaszewski P, Gajewski J, Lewandowska J. (2011). Somatic Profile of Competitive Sport Climbers. J Hum Kinet. PMC3588625.</t>
        </is>
      </c>
      <c r="C30" s="50" t="inlineStr">
        <is>
          <t>Peer-reviewed journal</t>
        </is>
      </c>
      <c r="D30" s="50" t="inlineStr">
        <is>
          <t>https://www.ncbi.nlm.nih.gov/pmc/articles/PMC3588625/</t>
        </is>
      </c>
      <c r="E30" s="50" t="inlineStr">
        <is>
          <t>Climbing — elite male sport climbers vs students; ape index, somatotype.</t>
        </is>
      </c>
    </row>
    <row r="31" ht="55.5" customHeight="1" s="37">
      <c r="A31" s="50" t="inlineStr">
        <is>
          <t>S30</t>
        </is>
      </c>
      <c r="B31" s="50" t="inlineStr">
        <is>
          <t>Ginszt M, Saito M et al. (2025). Morphology of male world cup and elite bouldering athletes. Front Sports Act Living. PMC12198683.</t>
        </is>
      </c>
      <c r="C31" s="50" t="inlineStr">
        <is>
          <t>Peer-reviewed journal</t>
        </is>
      </c>
      <c r="D31" s="50" t="inlineStr">
        <is>
          <t>https://www.ncbi.nlm.nih.gov/pmc/articles/PMC12198683/</t>
        </is>
      </c>
      <c r="E31" s="50" t="inlineStr">
        <is>
          <t>Climbing — IFSC international vs national; high-elite lead climbers 173.3 ± 6.3 cm / 63.3 ± 8.4 kg / BF 7.97 ± 4.83%.</t>
        </is>
      </c>
    </row>
    <row r="32" ht="55.5" customHeight="1" s="37">
      <c r="A32" s="50" t="inlineStr">
        <is>
          <t>S31</t>
        </is>
      </c>
      <c r="B32" s="50" t="inlineStr">
        <is>
          <t>Fiala V, Żywiczyński P, Tureček P, Wacewicz S (2025). Somatometric profiles of successful male professional heavyweight boxers. Int J Sports Sci Coach.</t>
        </is>
      </c>
      <c r="C32" s="50" t="inlineStr">
        <is>
          <t>Peer-reviewed journal</t>
        </is>
      </c>
      <c r="D32" s="50" t="inlineStr">
        <is>
          <t>https://journals.sagepub.com/doi/abs/10.1177/17479541241311094</t>
        </is>
      </c>
      <c r="E32" s="50" t="inlineStr">
        <is>
          <t>Boxing — population-level optimum heavyweight ~110 kg; height effect strong.</t>
        </is>
      </c>
    </row>
    <row r="33" ht="55.5" customHeight="1" s="37">
      <c r="A33" s="50" t="inlineStr">
        <is>
          <t>S32</t>
        </is>
      </c>
      <c r="B33" s="50" t="inlineStr">
        <is>
          <t>Han TS, Callis TG, Sharma P, et al. (2019). Secular trends in adiposity and musculoskeletal dimensions of elite heavyweight boxers 1889–2019. Sport Sci Health.</t>
        </is>
      </c>
      <c r="C33" s="50" t="inlineStr">
        <is>
          <t>Peer-reviewed journal</t>
        </is>
      </c>
      <c r="D33" s="50" t="inlineStr">
        <is>
          <t>https://link.springer.com/article/10.1007/s11332-019-00598-2</t>
        </is>
      </c>
      <c r="E33" s="50" t="inlineStr">
        <is>
          <t>Boxing — 237 heavyweight world title boxers, 187.3 ± 6.5 cm, reach 195.2 ± 9.4 cm, 97.5 ± 11.5 kg, BMI 27.8 ± 2.4.</t>
        </is>
      </c>
    </row>
    <row r="34" ht="55.5" customHeight="1" s="37">
      <c r="A34" s="50" t="inlineStr">
        <is>
          <t>S33</t>
        </is>
      </c>
      <c r="B34" s="50" t="inlineStr">
        <is>
          <t>Reale R, Burke LM, Cox GR, Slater G (2020). Body composition of elite Olympic combat sport athletes. Eur J Sport Sci 20(2):147–156.</t>
        </is>
      </c>
      <c r="C34" s="50" t="inlineStr">
        <is>
          <t>Peer-reviewed journal</t>
        </is>
      </c>
      <c r="D34" s="50" t="inlineStr">
        <is>
          <t>https://onlinelibrary.wiley.com/doi/10.1080/17461391.2019.1616826</t>
        </is>
      </c>
      <c r="E34" s="50" t="inlineStr">
        <is>
          <t>Combat sports — DXA cohort (56M, 38F): boxing/judo/wrestling/taekwondo BMI and lean mass by sport and sex.</t>
        </is>
      </c>
    </row>
    <row r="35" ht="55.5" customHeight="1" s="37">
      <c r="A35" s="50" t="inlineStr">
        <is>
          <t>S34</t>
        </is>
      </c>
      <c r="B35" s="50" t="inlineStr">
        <is>
          <t>Halperin I et al., reported in case-report Front Sports Act Living (2025). World featherweight boxing champion — body composition during prep.</t>
        </is>
      </c>
      <c r="C35" s="50" t="inlineStr">
        <is>
          <t>Peer-reviewed case report</t>
        </is>
      </c>
      <c r="D35" s="50" t="inlineStr">
        <is>
          <t>https://www.frontiersin.org/journals/sports-and-active-living/articles/10.3389/fspor.2025.1606856/full</t>
        </is>
      </c>
      <c r="E35" s="50" t="inlineStr">
        <is>
          <t>Boxing — featherweight (57 kg) elite case study, BF 7.0% by BIA, somatotype 1.5-2.8-5.2.</t>
        </is>
      </c>
    </row>
    <row r="36" ht="55.5" customHeight="1" s="37">
      <c r="A36" s="50" t="inlineStr">
        <is>
          <t>S35</t>
        </is>
      </c>
      <c r="B36" s="50" t="inlineStr">
        <is>
          <t>Zabukovec R, Tiidus PM (1995). Physiological and Anthropometric Profile of Elite Kickboxers. J Strength Cond Res 9(4).</t>
        </is>
      </c>
      <c r="C36" s="50" t="inlineStr">
        <is>
          <t>Peer-reviewed journal</t>
        </is>
      </c>
      <c r="D36" s="50" t="inlineStr">
        <is>
          <t>https://journals.lww.com/nsca-jscr/abstract/1995/11000/physiological_and_anthropometric_profile_of_elite.7.aspx</t>
        </is>
      </c>
      <c r="E36" s="50" t="inlineStr">
        <is>
          <t>Kickboxing — middleweight/welterweight pros, BF 6.1–10.8%, VO2max 54–69, mesomorph.</t>
        </is>
      </c>
    </row>
    <row r="37" ht="55.5" customHeight="1" s="37">
      <c r="A37" s="50" t="inlineStr">
        <is>
          <t>S36</t>
        </is>
      </c>
      <c r="B37" s="50" t="inlineStr">
        <is>
          <t>Franchini E, Del Vecchio FB, Matsushigue KA, Artioli GG (2011). Physiological profiles of elite judo athletes. Sports Med 41(2):147–166.</t>
        </is>
      </c>
      <c r="C37" s="50" t="inlineStr">
        <is>
          <t>Peer-reviewed review</t>
        </is>
      </c>
      <c r="D37" s="50" t="inlineStr">
        <is>
          <t>https://paulogentil.com/pdf/Physiological%20profiles%20of%20elite%20judo%20athletes.pdf</t>
        </is>
      </c>
      <c r="E37" s="50" t="inlineStr">
        <is>
          <t>Judo — comprehensive review across weight categories and sexes.</t>
        </is>
      </c>
    </row>
    <row r="38" ht="55.5" customHeight="1" s="37">
      <c r="A38" s="50" t="inlineStr">
        <is>
          <t>S37</t>
        </is>
      </c>
      <c r="B38" s="50" t="inlineStr">
        <is>
          <t>Canda A et al. (2015). Anthropometric profile and estimation of competition weight in judokas. Archivos de Medicina del Deporte.</t>
        </is>
      </c>
      <c r="C38" s="50" t="inlineStr">
        <is>
          <t>Peer-reviewed journal</t>
        </is>
      </c>
      <c r="D38" s="50" t="inlineStr">
        <is>
          <t>https://archivosdemedicinadeldeporte.com/articulos/upload/or05_canda_ingles.pdf</t>
        </is>
      </c>
      <c r="E38" s="50" t="inlineStr">
        <is>
          <t>Judo — 318 elite judokas (187M, 131F) across seven weight categories.</t>
        </is>
      </c>
    </row>
    <row r="39" ht="55.5" customHeight="1" s="37">
      <c r="A39" s="50" t="inlineStr">
        <is>
          <t>S38</t>
        </is>
      </c>
      <c r="B39" s="50" t="inlineStr">
        <is>
          <t>Marinho BF, Andreato LV, Follmer B, Franchini E (2016). Comparison of body composition and physical fitness in elite and non-elite Brazilian jiu-jitsu athletes. Sci Sports 31:129–134.</t>
        </is>
      </c>
      <c r="C39" s="50" t="inlineStr">
        <is>
          <t>Peer-reviewed journal</t>
        </is>
      </c>
      <c r="D39" s="50" t="inlineStr">
        <is>
          <t>https://www.researchgate.net/publication/87141044</t>
        </is>
      </c>
      <c r="E39" s="50" t="inlineStr">
        <is>
          <t>BJJ — elite vs non-elite comparison.</t>
        </is>
      </c>
    </row>
    <row r="40" ht="55.5" customHeight="1" s="37">
      <c r="A40" s="50" t="inlineStr">
        <is>
          <t>S39</t>
        </is>
      </c>
      <c r="B40" s="50" t="inlineStr">
        <is>
          <t>Lovell DI, Bousson M, McLellan C (2013). Anthropometric and physiological profile of elite BJJ athletes — referenced in subsequent reviews.</t>
        </is>
      </c>
      <c r="C40" s="50" t="inlineStr">
        <is>
          <t>Peer-reviewed journal</t>
        </is>
      </c>
      <c r="D40" s="50" t="inlineStr">
        <is>
          <t>Various (DOI in Marinho 2016 references)</t>
        </is>
      </c>
      <c r="E40" s="50" t="inlineStr">
        <is>
          <t>BJJ — handgrip and aerobic profiles.</t>
        </is>
      </c>
    </row>
    <row r="41" ht="55.5" customHeight="1" s="37">
      <c r="A41" s="50" t="inlineStr">
        <is>
          <t>S40</t>
        </is>
      </c>
      <c r="B41" s="50" t="inlineStr">
        <is>
          <t>Yánez-Sepúlveda R et al. (2023). Anthropometric profile and physiological performance of elite MMA athletes. J Hum Sport Exerc.</t>
        </is>
      </c>
      <c r="C41" s="50" t="inlineStr">
        <is>
          <t>Peer-reviewed journal</t>
        </is>
      </c>
      <c r="D41" s="50" t="inlineStr">
        <is>
          <t>https://www.jhse.es/index.php/jhse/article/download/anthropometry-performance-elite-mma-athletes/234/13245</t>
        </is>
      </c>
      <c r="E41" s="50" t="inlineStr">
        <is>
          <t>MMA — elite mixed martial arts profile.</t>
        </is>
      </c>
    </row>
    <row r="42" ht="55.5" customHeight="1" s="37">
      <c r="A42" s="50" t="inlineStr">
        <is>
          <t>S41</t>
        </is>
      </c>
      <c r="B42" s="50" t="inlineStr">
        <is>
          <t>Sertic H et al. (2019); referenced in Turkish J of Sport 'Relationship between physical fitness characteristics and body composition of elite wrestlers'.</t>
        </is>
      </c>
      <c r="C42" s="50" t="inlineStr">
        <is>
          <t>Peer-reviewed journal</t>
        </is>
      </c>
      <c r="D42" s="50" t="inlineStr">
        <is>
          <t>https://ijpefs.org/index.php/ijpefs/article/view/241</t>
        </is>
      </c>
      <c r="E42" s="50" t="inlineStr">
        <is>
          <t>Wrestling — Turkish Super League elite freestyle, 170.9 ± 5.3 cm / 75.2 ± 9.6 kg / BMI 25.7 ± 2.4.</t>
        </is>
      </c>
    </row>
    <row r="43" ht="55.5" customHeight="1" s="37">
      <c r="A43" s="50" t="inlineStr">
        <is>
          <t>S42</t>
        </is>
      </c>
      <c r="B43" s="50" t="inlineStr">
        <is>
          <t>Sánchez-Muñoz C, Sanz D, Zabala M (2008). Anthropometric characteristics, body composition and somatotype of elite junior tennis players. Br J Sports Med; and subsequent racquet-sport comparative work.</t>
        </is>
      </c>
      <c r="C43" s="50" t="inlineStr">
        <is>
          <t>Peer-reviewed journal</t>
        </is>
      </c>
      <c r="D43" s="50" t="inlineStr">
        <is>
          <t>https://www.academia.edu/27910402/Somatotype_and_body_composition_of_competitive_female_tennis_table_tennis_badminton_and_squash_players</t>
        </is>
      </c>
      <c r="E43" s="50" t="inlineStr">
        <is>
          <t>Racquet sports — comparative female samples across tennis, table tennis, badminton, squash.</t>
        </is>
      </c>
    </row>
    <row r="44" ht="55.5" customHeight="1" s="37">
      <c r="A44" s="50" t="inlineStr">
        <is>
          <t>S43</t>
        </is>
      </c>
      <c r="B44" s="50" t="inlineStr">
        <is>
          <t>Hume PA, Stewart AD (2009). Differences in world badminton players' physical and proportionality characteristics between singles and doubles players. 2007 BWF World Championships data.</t>
        </is>
      </c>
      <c r="C44" s="50" t="inlineStr">
        <is>
          <t>Peer-reviewed journal</t>
        </is>
      </c>
      <c r="D44" s="50" t="inlineStr">
        <is>
          <t>https://www.researchgate.net/publication/260436579</t>
        </is>
      </c>
      <c r="E44" s="50" t="inlineStr">
        <is>
          <t>Badminton — 109 elite players (singles vs doubles, male vs female); ISAK protocol.</t>
        </is>
      </c>
    </row>
    <row r="45" ht="55.5" customHeight="1" s="37">
      <c r="A45" s="50" t="inlineStr">
        <is>
          <t>S44</t>
        </is>
      </c>
      <c r="B45" s="50" t="inlineStr">
        <is>
          <t>Pradas F et al. (2021). Anthropometric Profiles in Table Tennis Players: Analysis of Sex, Age, and Ranking. Appl Sci 11(2):876.</t>
        </is>
      </c>
      <c r="C45" s="50" t="inlineStr">
        <is>
          <t>Peer-reviewed journal</t>
        </is>
      </c>
      <c r="D45" s="50" t="inlineStr">
        <is>
          <t>https://www.mdpi.com/2076-3417/11/2/876</t>
        </is>
      </c>
      <c r="E45" s="50" t="inlineStr">
        <is>
          <t>Table tennis — 495 players (288M, 207F), sex and ranking comparison.</t>
        </is>
      </c>
    </row>
    <row r="46" ht="55.5" customHeight="1" s="37">
      <c r="A46" s="50" t="inlineStr">
        <is>
          <t>S45</t>
        </is>
      </c>
      <c r="B46" s="50" t="inlineStr">
        <is>
          <t>Jaski A, Bale P. The Physique and Body Composition of Top Class Squash Players. PubMed 3599965; and subsequent reviews.</t>
        </is>
      </c>
      <c r="C46" s="50" t="inlineStr">
        <is>
          <t>Peer-reviewed journal</t>
        </is>
      </c>
      <c r="D46" s="50" t="inlineStr">
        <is>
          <t>https://pubmed.ncbi.nlm.nih.gov/3599965/</t>
        </is>
      </c>
      <c r="E46" s="50" t="inlineStr">
        <is>
          <t>Squash — top-class players, classic anthropometric study.</t>
        </is>
      </c>
    </row>
    <row r="47" ht="55.5" customHeight="1" s="37">
      <c r="A47" s="50" t="inlineStr">
        <is>
          <t>S46</t>
        </is>
      </c>
      <c r="B47" s="50" t="inlineStr">
        <is>
          <t>Heller J (2010). Physiological profiles of elite badminton players: Aspects of age and gender. Br J Sports Med 44(Suppl 1):i17.</t>
        </is>
      </c>
      <c r="C47" s="50" t="inlineStr">
        <is>
          <t>Peer-reviewed journal</t>
        </is>
      </c>
      <c r="D47" s="50" t="inlineStr">
        <is>
          <t>https://bjsm.bmj.com/content/44/Suppl_1/i17.4</t>
        </is>
      </c>
      <c r="E47" s="50" t="inlineStr">
        <is>
          <t>Badminton — physiological profile by age and sex.</t>
        </is>
      </c>
    </row>
    <row r="48" ht="55.5" customHeight="1" s="37">
      <c r="A48" s="50" t="inlineStr">
        <is>
          <t>S47</t>
        </is>
      </c>
      <c r="B48" s="50" t="inlineStr">
        <is>
          <t>Keogh JWL, Hume PA, Pearson SN, Mellow P (2007). Anthropometric dimensions of male powerlifters of varying body mass. J Sports Sci. PubMed 17786689.</t>
        </is>
      </c>
      <c r="C48" s="50" t="inlineStr">
        <is>
          <t>Peer-reviewed journal</t>
        </is>
      </c>
      <c r="D48" s="50" t="inlineStr">
        <is>
          <t>https://pubmed.ncbi.nlm.nih.gov/17786689/</t>
        </is>
      </c>
      <c r="E48" s="50" t="inlineStr">
        <is>
          <t>Powerlifting — 54 Oceania competitors across lightweight/middleweight/heavyweight; highly mesomorphic with large girths and bony breadths.</t>
        </is>
      </c>
    </row>
    <row r="49" ht="55.5" customHeight="1" s="37">
      <c r="A49" s="50" t="inlineStr">
        <is>
          <t>S48</t>
        </is>
      </c>
      <c r="B49" s="50" t="inlineStr">
        <is>
          <t>Ford LE, Detterline AJ, Ho KK, Cao W (2000). Gender- and height-related limits of muscle strength in world weightlifting champions. J Appl Physiol 89(3):1061–1064. (Foundational weightlifting anthropometric reference.)</t>
        </is>
      </c>
      <c r="C49" s="50" t="inlineStr">
        <is>
          <t>Peer-reviewed journal</t>
        </is>
      </c>
      <c r="D49" s="50" t="inlineStr">
        <is>
          <t>https://journals.physiology.org/doi/10.1152/jappl.2000.89.3.1061</t>
        </is>
      </c>
      <c r="E49" s="50" t="inlineStr">
        <is>
          <t>Olympic weightlifting — world champions across weight categories; absolute strength scales with body mass^2/3.</t>
        </is>
      </c>
    </row>
    <row r="50" ht="55.5" customHeight="1" s="37">
      <c r="A50" s="50" t="inlineStr">
        <is>
          <t>S49</t>
        </is>
      </c>
      <c r="B50" s="50" t="inlineStr">
        <is>
          <t>Kraemer WJ, Caldwell LK, Post EM, et al. (2020). Body composition in elite strongman competitors. J Strength Cond Res 34(12):3326–3330.</t>
        </is>
      </c>
      <c r="C50" s="50" t="inlineStr">
        <is>
          <t>Peer-reviewed journal</t>
        </is>
      </c>
      <c r="D50" s="50" t="inlineStr">
        <is>
          <t>https://pubmed.ncbi.nlm.nih.gov/33235016/</t>
        </is>
      </c>
      <c r="E50" s="50" t="inlineStr">
        <is>
          <t>Strongman — 18 elite competitors via DXA: 187.4 ± 7.1 cm, 152.9 ± 19.3 kg, BMI 43.5 ± 4.8, lean mass 118.0 ± 11.7 kg, BF 18.7 ± 6.2%.</t>
        </is>
      </c>
    </row>
    <row r="51" ht="55.5" customHeight="1" s="37">
      <c r="A51" s="50" t="inlineStr">
        <is>
          <t>S50</t>
        </is>
      </c>
      <c r="B51" s="50" t="inlineStr">
        <is>
          <t>Jagiello W et al. (2007). Morphological diversification of female judo athletes. Archives of Budo 3:27–34.</t>
        </is>
      </c>
      <c r="C51" s="50" t="inlineStr">
        <is>
          <t>Peer-reviewed journal</t>
        </is>
      </c>
      <c r="D51" s="50" t="inlineStr">
        <is>
          <t>https://www.academia.edu/75846607</t>
        </is>
      </c>
      <c r="E51" s="50" t="inlineStr">
        <is>
          <t>Judo — female elite, body fat and somatotype across weight categories.</t>
        </is>
      </c>
    </row>
    <row r="52" ht="55.5" customHeight="1" s="37">
      <c r="A52" s="50" t="inlineStr">
        <is>
          <t>S51</t>
        </is>
      </c>
      <c r="B52" s="50" t="inlineStr">
        <is>
          <t>Smaruj M et al. (2019); Spieser et al. (2012); Casals et al. (2017). Female judoka body composition — referenced in Reale 2020 (S33) and subsequent reviews.</t>
        </is>
      </c>
      <c r="C52" s="50" t="inlineStr">
        <is>
          <t>Peer-reviewed journals</t>
        </is>
      </c>
      <c r="D52" s="50" t="inlineStr">
        <is>
          <t>https://www.researchgate.net/publication/338026538</t>
        </is>
      </c>
      <c r="E52" s="50" t="inlineStr">
        <is>
          <t>Judo — female international/national elites, BF range 17–24.8%, somatotypes.</t>
        </is>
      </c>
    </row>
    <row r="53" ht="55.5" customHeight="1" s="37">
      <c r="A53" s="50" t="inlineStr">
        <is>
          <t>S52</t>
        </is>
      </c>
      <c r="B53" s="50" t="inlineStr">
        <is>
          <t>Trutschnigg B, Chong C, Habermayerova L, Karelis AD, Komorowski J (2008). Female boxers have high bone mineral density despite low body fat mass... Appl Physiol Nutr Metab 33(5):863–9.</t>
        </is>
      </c>
      <c r="C53" s="50" t="inlineStr">
        <is>
          <t>Peer-reviewed journal</t>
        </is>
      </c>
      <c r="D53" s="50" t="inlineStr">
        <is>
          <t>https://pubmed.ncbi.nlm.nih.gov/18923565/</t>
        </is>
      </c>
      <c r="E53" s="50" t="inlineStr">
        <is>
          <t>Boxing — elite female boxers, BMD and body composition.</t>
        </is>
      </c>
    </row>
    <row r="54" ht="55.5" customHeight="1" s="37">
      <c r="A54" s="50" t="inlineStr">
        <is>
          <t>S53</t>
        </is>
      </c>
      <c r="B54" s="50" t="inlineStr">
        <is>
          <t>Sandbakk Ø, Holmberg HC (2014); and Sandbakk Ø et al. (2015). Are Gender Differences in Upper-Body Power Generated by Elite Cross-Country Skiers Augmented by Increasing Intensity? PLoS One; with Norwegian elite XC ski cohort.</t>
        </is>
      </c>
      <c r="C54" s="50" t="inlineStr">
        <is>
          <t>Peer-reviewed journal</t>
        </is>
      </c>
      <c r="D54" s="50" t="inlineStr">
        <is>
          <t>https://www.ncbi.nlm.nih.gov/pmc/articles/PMC4441444/</t>
        </is>
      </c>
      <c r="E54" s="50" t="inlineStr">
        <is>
          <t>Cross-country skiing — Norwegian elite, M 183 ± 4 cm / 78.4 ± 7.3 kg; F 170 ± 6 cm / 65.2 ± 5.9 kg.</t>
        </is>
      </c>
    </row>
    <row r="55" ht="55.5" customHeight="1" s="37">
      <c r="A55" s="50" t="inlineStr">
        <is>
          <t>S54</t>
        </is>
      </c>
      <c r="B55" s="50" t="inlineStr">
        <is>
          <t>Bolger R et al. (2020); Talsnes RK et al. Physiological profiles and training loads of international level male and female cross-country skiers and biathletes. Sci Sports.</t>
        </is>
      </c>
      <c r="C55" s="50" t="inlineStr">
        <is>
          <t>Peer-reviewed journal</t>
        </is>
      </c>
      <c r="D55" s="50" t="inlineStr">
        <is>
          <t>https://www.sciencedirect.com/science/article/abs/pii/S0765159722000843</t>
        </is>
      </c>
      <c r="E55" s="50" t="inlineStr">
        <is>
          <t>XC skiing &amp; biathlon — 108 Russian elites; XC BMI 23.0 ± 3.3 vs biathlon 22.4 ± 1.8.</t>
        </is>
      </c>
    </row>
    <row r="56" ht="55.5" customHeight="1" s="37">
      <c r="A56" s="50" t="inlineStr">
        <is>
          <t>S55</t>
        </is>
      </c>
      <c r="B56" s="50" t="inlineStr">
        <is>
          <t>Carlsson T, Wedholm L, Nilsson J, Carlsson M (2020). Anthropometric and Physiological Characteristics of Elite Cross-Country Skiers and Biathletes. Open Access J Sports Med.</t>
        </is>
      </c>
      <c r="C56" s="50" t="inlineStr">
        <is>
          <t>Peer-reviewed journal</t>
        </is>
      </c>
      <c r="D56" s="50" t="inlineStr">
        <is>
          <t>https://www.ncbi.nlm.nih.gov/pmc/articles/PMC6951403/</t>
        </is>
      </c>
      <c r="E56" s="50" t="inlineStr">
        <is>
          <t>Biathlon — elite biathletes; M body height 181.9 ± cm / 73.6 ± 6.5 kg, BF 13% / muscle 83% BM.</t>
        </is>
      </c>
    </row>
    <row r="57" ht="55.5" customHeight="1" s="37">
      <c r="A57" s="50" t="inlineStr">
        <is>
          <t>S56</t>
        </is>
      </c>
      <c r="B57" s="50" t="inlineStr">
        <is>
          <t>Vermeulen B et al. (2017). Event-Specific Body Characteristics of Elite Alpine Skiers in Relation to International Rankings. Int J Sports Sci Coach.</t>
        </is>
      </c>
      <c r="C57" s="50" t="inlineStr">
        <is>
          <t>Peer-reviewed journal</t>
        </is>
      </c>
      <c r="D57" s="50" t="inlineStr">
        <is>
          <t>https://www.researchgate.net/publication/316833055</t>
        </is>
      </c>
      <c r="E57" s="50" t="inlineStr">
        <is>
          <t>Alpine skiing — technical (slalom/giant slalom) vs speed (super-G/downhill) specialists; speed specialists heavier and more endomorphic than tech specialists.</t>
        </is>
      </c>
    </row>
    <row r="58" ht="55.5" customHeight="1" s="37">
      <c r="A58" s="50" t="inlineStr">
        <is>
          <t>S57</t>
        </is>
      </c>
      <c r="B58" s="50" t="inlineStr">
        <is>
          <t>Bergeron MF et al.; and Sochi 2014 Olympic anthropometric summary. TopEndSports analysis.</t>
        </is>
      </c>
      <c r="C58" s="50" t="inlineStr">
        <is>
          <t>Aggregator citing IOC database</t>
        </is>
      </c>
      <c r="D58" s="50" t="inlineStr">
        <is>
          <t>https://www.topendsports.com/events/winter/science/anthropometry-2014.htm</t>
        </is>
      </c>
      <c r="E58" s="50" t="inlineStr">
        <is>
          <t>Winter sports — Sochi 2014 Olympic athletes height/weight by sport; ice hockey tallest, figure skaters shortest.</t>
        </is>
      </c>
    </row>
    <row r="59" ht="55.5" customHeight="1" s="37">
      <c r="A59" s="50" t="inlineStr">
        <is>
          <t>S58</t>
        </is>
      </c>
      <c r="B59" s="50" t="inlineStr">
        <is>
          <t>Stanula A et al.; Vigh-Larsen JF et al. (2020). And: Comparison of Somatic Variables of Elite Ice Hockey Players from the Czech ELH and Russian KHL. J Hum Kinet.</t>
        </is>
      </c>
      <c r="C59" s="50" t="inlineStr">
        <is>
          <t>Peer-reviewed journal</t>
        </is>
      </c>
      <c r="D59" s="50" t="inlineStr">
        <is>
          <t>https://www.ncbi.nlm.nih.gov/pmc/articles/PMC4415831/</t>
        </is>
      </c>
      <c r="E59" s="50" t="inlineStr">
        <is>
          <t>Ice hockey — KHL forwards 183 cm / 89.7 kg; defensemen 185.7 cm / 92.5 kg; BF ~11–12 kg / ~12–14%; ELH similar.</t>
        </is>
      </c>
    </row>
    <row r="60" ht="55.5" customHeight="1" s="37">
      <c r="A60" s="50" t="inlineStr">
        <is>
          <t>S59</t>
        </is>
      </c>
      <c r="B60" s="50" t="inlineStr">
        <is>
          <t>Csulak E et al. (2024). Investigation of Body Composition and Cardiac Sports Adaptation in Elite Water Polo Players. PMC12196840.</t>
        </is>
      </c>
      <c r="C60" s="50" t="inlineStr">
        <is>
          <t>Peer-reviewed journal</t>
        </is>
      </c>
      <c r="D60" s="50" t="inlineStr">
        <is>
          <t>https://www.ncbi.nlm.nih.gov/pmc/articles/PMC12196840/</t>
        </is>
      </c>
      <c r="E60" s="50" t="inlineStr">
        <is>
          <t>Water polo — M 188.6 ± 6.8 cm / 87.6 ± 12.8 kg / BF 12.1 ± 4.0%; F 173.5 ± 6.8 cm / 69.8 ± 9.8 kg / BF 21.5 ± 4.8%.</t>
        </is>
      </c>
    </row>
    <row r="61" ht="55.5" customHeight="1" s="37">
      <c r="A61" s="50" t="inlineStr">
        <is>
          <t>S60</t>
        </is>
      </c>
      <c r="B61" s="50" t="inlineStr">
        <is>
          <t>Petricevic JK et al. (2016). Anthropometric characteristics of elite players in water polo. ResearchGate.</t>
        </is>
      </c>
      <c r="C61" s="50" t="inlineStr">
        <is>
          <t>Peer-reviewed journal</t>
        </is>
      </c>
      <c r="D61" s="50" t="inlineStr">
        <is>
          <t>https://www.researchgate.net/publication/289942112</t>
        </is>
      </c>
      <c r="E61" s="50" t="inlineStr">
        <is>
          <t>Water polo — supports profile in S59; Spanish national team anthropometrics referenced.</t>
        </is>
      </c>
    </row>
    <row r="62" ht="55.5" customHeight="1" s="37">
      <c r="A62" s="50" t="inlineStr">
        <is>
          <t>S61</t>
        </is>
      </c>
      <c r="B62" s="50" t="inlineStr">
        <is>
          <t>Hagner-Derengowska M et al. (2022). Association of Anthropometrics and Body Composition with Maximal and Relative Force and Power of Kayak Stroke. PMC8909934.</t>
        </is>
      </c>
      <c r="C62" s="50" t="inlineStr">
        <is>
          <t>Peer-reviewed journal</t>
        </is>
      </c>
      <c r="D62" s="50" t="inlineStr">
        <is>
          <t>https://www.ncbi.nlm.nih.gov/pmc/articles/PMC8909934/</t>
        </is>
      </c>
      <c r="E62" s="50" t="inlineStr">
        <is>
          <t>Kayak sprint — 21 elite male kayakers; BM, BMI and SMMI predict force; sprint specialists heavier than long-distance.</t>
        </is>
      </c>
    </row>
    <row r="63" ht="55.5" customHeight="1" s="37">
      <c r="A63" s="50" t="inlineStr">
        <is>
          <t>S62</t>
        </is>
      </c>
      <c r="B63" s="50" t="inlineStr">
        <is>
          <t>Bjelica D et al. (2024). Somatotype and anthropometric profile of elite Finn-class sailors.</t>
        </is>
      </c>
      <c r="C63" s="50" t="inlineStr">
        <is>
          <t>Peer-reviewed journal</t>
        </is>
      </c>
      <c r="D63" s="50" t="inlineStr">
        <is>
          <t>https://www.researchgate.net/publication/289942112</t>
        </is>
      </c>
      <c r="E63" s="50" t="inlineStr">
        <is>
          <t>Sailing (Finn class) — heavy-dinghy male class; endomorphic-mesomorph somatotype, comparable to rowers/kayakers.</t>
        </is>
      </c>
    </row>
    <row r="64" ht="55.5" customHeight="1" s="37">
      <c r="A64" s="50" t="inlineStr">
        <is>
          <t>S63</t>
        </is>
      </c>
      <c r="B64" s="50" t="inlineStr">
        <is>
          <t>Acebes-Sánchez J et al. (2022). Anthropometric characteristics of young elite sailors based on performance level. Asian J Sport Med.</t>
        </is>
      </c>
      <c r="C64" s="50" t="inlineStr">
        <is>
          <t>Peer-reviewed journal</t>
        </is>
      </c>
      <c r="D64" s="50" t="inlineStr">
        <is>
          <t>https://www.sciencedirect.com/science/article/pii/S1728869X22000806</t>
        </is>
      </c>
      <c r="E64" s="50" t="inlineStr">
        <is>
          <t>Sailing — 42 young elite sailors (monohull &amp; windsurfing); top performers leaner with lower trunk and limb fat.</t>
        </is>
      </c>
    </row>
    <row r="65" ht="55.5" customHeight="1" s="37">
      <c r="A65" s="50" t="inlineStr">
        <is>
          <t>S64</t>
        </is>
      </c>
      <c r="B65" s="50" t="inlineStr">
        <is>
          <t>Masanović B, Gardasević J, Bjelica D (2021). Comparative Study of Anthropometric Measurement and Body Composition Between Elite Handball and Volleyball Players from the Serbian National League. Int J Morphol 39(1):287–293.</t>
        </is>
      </c>
      <c r="C65" s="50" t="inlineStr">
        <is>
          <t>Peer-reviewed journal</t>
        </is>
      </c>
      <c r="D65" s="50" t="inlineStr">
        <is>
          <t>https://www.researchgate.net/publication/347948931</t>
        </is>
      </c>
      <c r="E65" s="50" t="inlineStr">
        <is>
          <t>Volleyball &amp; handball — Serbian national league elite male players; volleyball significantly taller.</t>
        </is>
      </c>
    </row>
    <row r="66" ht="55.5" customHeight="1" s="37">
      <c r="A66" s="50" t="inlineStr">
        <is>
          <t>S65</t>
        </is>
      </c>
      <c r="B66" s="50" t="inlineStr">
        <is>
          <t>Ghobadi H et al. (2013); Massuca L, Fragoso I (2011). And: Anthropometry of World-Class Elite Handball Players According to the Playing Position: Reports From Men's Handball World Championship 2013. J Hum Kinet.</t>
        </is>
      </c>
      <c r="C66" s="50" t="inlineStr">
        <is>
          <t>Peer-reviewed journal</t>
        </is>
      </c>
      <c r="D66" s="50" t="inlineStr">
        <is>
          <t>https://www.ncbi.nlm.nih.gov/pmc/articles/PMC3916924/</t>
        </is>
      </c>
      <c r="E66" s="50" t="inlineStr">
        <is>
          <t>Handball — 2013 World Champs by position: wings 177–178 cm/80 kg, backs 193–202 cm/91–102 kg, pivots 188–202 cm/105–121 kg, GK 192–198 cm/82–88 kg.</t>
        </is>
      </c>
    </row>
    <row r="67" ht="55.5" customHeight="1" s="37">
      <c r="A67" s="50" t="inlineStr">
        <is>
          <t>S66</t>
        </is>
      </c>
      <c r="B67" s="50" t="inlineStr">
        <is>
          <t>Drăgan Ş, et al. (2022). Toward an Anthropometric Pattern in Elite Male Handball. PMC8910445.</t>
        </is>
      </c>
      <c r="C67" s="50" t="inlineStr">
        <is>
          <t>Peer-reviewed journal</t>
        </is>
      </c>
      <c r="D67" s="50" t="inlineStr">
        <is>
          <t>https://www.ncbi.nlm.nih.gov/pmc/articles/PMC8910445/</t>
        </is>
      </c>
      <c r="E67" s="50" t="inlineStr">
        <is>
          <t>Handball — 2004–2021 top-4 teams trend; mean height risen 190→192.6 cm, mass 90.5→95.3 kg, BMI 25.2→25.7.</t>
        </is>
      </c>
    </row>
    <row r="68" ht="55.5" customHeight="1" s="37">
      <c r="A68" s="50" t="inlineStr">
        <is>
          <t>S67</t>
        </is>
      </c>
      <c r="B68" s="50" t="inlineStr">
        <is>
          <t>Bhattacharya P et al.; and TopEndSports field hockey summary; with Manna I et al. (2010). Effect of Training on Anthropometric, Physiological and Biochemical Variables of Elite Field Hockey Players.</t>
        </is>
      </c>
      <c r="C68" s="50" t="inlineStr">
        <is>
          <t>Peer-reviewed journal / aggregator</t>
        </is>
      </c>
      <c r="D68" s="50" t="inlineStr">
        <is>
          <t>https://www.topendsports.com/sport/hockey/anthropometry-height-weight.htm</t>
        </is>
      </c>
      <c r="E68" s="50" t="inlineStr">
        <is>
          <t>Field hockey — London 2012 Olympic data; M elite ~175 cm / 72 kg / BF ~9.4%.</t>
        </is>
      </c>
    </row>
    <row r="69" ht="55.5" customHeight="1" s="37">
      <c r="A69" s="50" t="inlineStr">
        <is>
          <t>S68</t>
        </is>
      </c>
      <c r="B69" s="50" t="inlineStr">
        <is>
          <t>Collins K, Reilly T, Morton J, McRobert A, Doran D (2014). Anthropometric and Performance Characteristics of Elite Hurling Players. J Athl Enhanc 3(6).</t>
        </is>
      </c>
      <c r="C69" s="50" t="inlineStr">
        <is>
          <t>Peer-reviewed journal</t>
        </is>
      </c>
      <c r="D69" s="50" t="inlineStr">
        <is>
          <t>https://www.researchgate.net/publication/274710853</t>
        </is>
      </c>
      <c r="E69" s="50" t="inlineStr">
        <is>
          <t>Hurling — full positional table: FB 184.3 ± 3.7 cm / 88.7 ± 5.7 kg, HB 185.6 ± 5.1 / 84.2 ± 9, MF 179.9 ± 6 / 79.9 ± 4.9, HF 181.6 ± 4.6 / 80.2 ± 5.8, FF 177.3 ± 8.9 / 75.5 ± 8.6.</t>
        </is>
      </c>
    </row>
    <row r="70" ht="55.5" customHeight="1" s="37">
      <c r="A70" s="50" t="inlineStr">
        <is>
          <t>S69</t>
        </is>
      </c>
      <c r="B70" s="50" t="inlineStr">
        <is>
          <t>Donnellan E, Doran D, Reilly T (2021). A Comparison of Anthropometric and Performance Profiles between Elite and Sub-Elite Hurling Players. Appl Sci 11(3):954.</t>
        </is>
      </c>
      <c r="C70" s="50" t="inlineStr">
        <is>
          <t>Peer-reviewed journal</t>
        </is>
      </c>
      <c r="D70" s="50" t="inlineStr">
        <is>
          <t>https://www.mdpi.com/2076-3417/11/3/954</t>
        </is>
      </c>
      <c r="E70" s="50" t="inlineStr">
        <is>
          <t>Hurling — elite vs sub-elite, 137 hurlers; elite leaner with greater FFM at positions HB, HF, FF.</t>
        </is>
      </c>
    </row>
    <row r="71" ht="55.5" customHeight="1" s="37">
      <c r="A71" s="50" t="inlineStr">
        <is>
          <t>S70</t>
        </is>
      </c>
      <c r="B71" s="50" t="inlineStr">
        <is>
          <t>Daly E, Pearce AJ, Ryan L (2021). The physical characteristics of elite camogie players. PubMed 34664908.</t>
        </is>
      </c>
      <c r="C71" s="50" t="inlineStr">
        <is>
          <t>Peer-reviewed journal</t>
        </is>
      </c>
      <c r="D71" s="50" t="inlineStr">
        <is>
          <t>https://pubmed.ncbi.nlm.nih.gov/34664908/</t>
        </is>
      </c>
      <c r="E71" s="50" t="inlineStr">
        <is>
          <t>Camogie — 45 inter-county players: 168.97 ± 5.60 cm / 68.37 ± 7.44 kg; positional differences trivial-to-small.</t>
        </is>
      </c>
    </row>
    <row r="72" ht="55.5" customHeight="1" s="37">
      <c r="A72" s="50" t="inlineStr">
        <is>
          <t>S71</t>
        </is>
      </c>
      <c r="B72" s="50" t="inlineStr">
        <is>
          <t>Young D et al. (2022). Comparing the Current Training Running Demands of Elite Camogie Players to Competitive Match-Play. Sports 10(8):113.</t>
        </is>
      </c>
      <c r="C72" s="50" t="inlineStr">
        <is>
          <t>Peer-reviewed journal</t>
        </is>
      </c>
      <c r="D72" s="50" t="inlineStr">
        <is>
          <t>https://mdpi.com/2075-4663/10/8/113/htm</t>
        </is>
      </c>
      <c r="E72" s="50" t="inlineStr">
        <is>
          <t>Camogie — 33 senior inter-county players; running demands and supplementary anthropometry.</t>
        </is>
      </c>
    </row>
    <row r="73" ht="55.5" customHeight="1" s="37">
      <c r="A73" s="50" t="inlineStr">
        <is>
          <t>S72</t>
        </is>
      </c>
      <c r="B73" s="50" t="inlineStr">
        <is>
          <t>Byrne LM, Byrne PJ, Byrne EK, Byrne AP, Coyle C (2022). Cross-Sectional Study of the Physical Fitness and Anthropometric Profiles of Adolescent Hurling, Camogie, and Gaelic Football Players. J Strength Cond Res 36(12):3422–3431.</t>
        </is>
      </c>
      <c r="C73" s="50" t="inlineStr">
        <is>
          <t>Peer-reviewed journal</t>
        </is>
      </c>
      <c r="D73" s="50" t="inlineStr">
        <is>
          <t>https://pubmed.ncbi.nlm.nih.gov/34537799/</t>
        </is>
      </c>
      <c r="E73" s="50" t="inlineStr">
        <is>
          <t>GAA — 311 adolescents 13–18 years; normative percentile data for all three Gaelic codes by age and sex.</t>
        </is>
      </c>
    </row>
    <row r="74" ht="55.5" customHeight="1" s="37">
      <c r="A74" s="50" t="inlineStr">
        <is>
          <t>S73</t>
        </is>
      </c>
      <c r="B74" s="50" t="inlineStr">
        <is>
          <t>Various authors via Doran et al. (2013); Anthropometric profile of elite ladies Gaelic football players — referenced in subsequent GAA literature.</t>
        </is>
      </c>
      <c r="C74" s="50" t="inlineStr">
        <is>
          <t>Peer-reviewed journal</t>
        </is>
      </c>
      <c r="D74" s="50" t="inlineStr">
        <is>
          <t>https://www.researchgate.net/publication/351430214</t>
        </is>
      </c>
      <c r="E74" s="50" t="inlineStr">
        <is>
          <t>Ladies Gaelic football — discipline-specific elite female data is thinner than men's; relies on supplementary referencing from GAA literature.</t>
        </is>
      </c>
    </row>
    <row r="75" ht="55.5" customHeight="1" s="37">
      <c r="A75" s="50" t="inlineStr">
        <is>
          <t>S74</t>
        </is>
      </c>
      <c r="B75" s="50" t="inlineStr">
        <is>
          <t>Malousaris GG et al. (2008); and TopEndSports women's volleyball summary. Anthropometric characteristics of female volleyball players by position; selected youth means 1.72 ± 0.06 m / 62.0 ± 7.2 kg.</t>
        </is>
      </c>
      <c r="C75" s="50" t="inlineStr">
        <is>
          <t>Peer-reviewed journal / aggregator</t>
        </is>
      </c>
      <c r="D75" s="50" t="inlineStr">
        <is>
          <t>https://www.ncbi.nlm.nih.gov/pmc/articles/PMC6901434/</t>
        </is>
      </c>
      <c r="E75" s="50" t="inlineStr">
        <is>
          <t>Volleyball — selected female youth and elite; tall, low body fat, balanced mesomorphic build.</t>
        </is>
      </c>
    </row>
    <row r="76" ht="55.5" customHeight="1" s="37">
      <c r="A76" s="50" t="inlineStr">
        <is>
          <t>S75</t>
        </is>
      </c>
      <c r="B76" s="50" t="inlineStr">
        <is>
          <t>Riznyk OI et al. (2024). Anthropometric parameters and BMI of highly qualified female handball players of different playing positions. ResearchGate.</t>
        </is>
      </c>
      <c r="C76" s="50" t="inlineStr">
        <is>
          <t>Peer-reviewed journal</t>
        </is>
      </c>
      <c r="D76" s="50" t="inlineStr">
        <is>
          <t>https://www.researchgate.net/publication/366838159</t>
        </is>
      </c>
      <c r="E76" s="50" t="inlineStr">
        <is>
          <t>Female handball — BMI 20.78 (left wings) to 24.37 (pivot); positional spread mirrors male game.</t>
        </is>
      </c>
    </row>
    <row r="77" ht="55.5" customHeight="1" s="37">
      <c r="A77" s="50" t="inlineStr">
        <is>
          <t>S76</t>
        </is>
      </c>
      <c r="B77" s="50" t="inlineStr">
        <is>
          <t>Hagner-Derengowska M et al. (2020). Sex Differences in Body Composition Changes after Preseason Training in Elite Handball Players. PMC7312478.</t>
        </is>
      </c>
      <c r="C77" s="50" t="inlineStr">
        <is>
          <t>Peer-reviewed journal</t>
        </is>
      </c>
      <c r="D77" s="50" t="inlineStr">
        <is>
          <t>https://www.ncbi.nlm.nih.gov/pmc/articles/PMC7312478/</t>
        </is>
      </c>
      <c r="E77" s="50" t="inlineStr">
        <is>
          <t>Female handball — MKS Zagłębie Lubin Super Liga; 17 women, 27.5 ± 4.5 y, 16 ± 4 yrs experience.</t>
        </is>
      </c>
    </row>
    <row r="78" ht="55.5" customHeight="1" s="37">
      <c r="A78" s="50" t="inlineStr">
        <is>
          <t>S77</t>
        </is>
      </c>
      <c r="B78" s="50" t="inlineStr">
        <is>
          <t>Geithner CA et al. (2006); Vescovi JD et al. (2007). Comparison of physiological and anthropometric characteristics of women's collegiate field hockey and ice hockey players.</t>
        </is>
      </c>
      <c r="C78" s="50" t="inlineStr">
        <is>
          <t>Peer-reviewed journal</t>
        </is>
      </c>
      <c r="D78" s="50" t="inlineStr">
        <is>
          <t>https://www.researchgate.net/publication/11340918</t>
        </is>
      </c>
      <c r="E78" s="50" t="inlineStr">
        <is>
          <t>Female ice/field hockey — University of Alberta women's ice hockey 112 players (21.4 ± 2.9 y); anthropometric and somatotype data.</t>
        </is>
      </c>
    </row>
    <row r="79" ht="55.5" customHeight="1" s="37">
      <c r="A79" s="50" t="inlineStr">
        <is>
          <t>S78</t>
        </is>
      </c>
      <c r="B79" s="50" t="inlineStr">
        <is>
          <t>Pyne DB et al. (2006); Veale JP et al. (2008). Positional differences in fitness and anthropometric characteristics in Australian football. J Sci Med Sport.</t>
        </is>
      </c>
      <c r="C79" s="50" t="inlineStr">
        <is>
          <t>Peer-reviewed journal</t>
        </is>
      </c>
      <c r="D79" s="50" t="inlineStr">
        <is>
          <t>https://www.topendsports.com/sport/afl/anthropometry.htm</t>
        </is>
      </c>
      <c r="E79" s="50" t="inlineStr">
        <is>
          <t>AFL — male AFL elite ~188 cm / 88 kg by position; tall midfielders, lighter wing/small forwards, taller key position players.</t>
        </is>
      </c>
    </row>
    <row r="80" ht="55.5" customHeight="1" s="37">
      <c r="A80" s="50" t="inlineStr">
        <is>
          <t>S79</t>
        </is>
      </c>
      <c r="B80" s="50" t="inlineStr">
        <is>
          <t>Pyne D et al. (corrected 2022). Characterising lower-body musculoskeletal morphology and whole-body composition of elite female and male Australian Football players. BMC Sports Sci Med Rehabil 14:168.</t>
        </is>
      </c>
      <c r="C80" s="50" t="inlineStr">
        <is>
          <t>Peer-reviewed journal</t>
        </is>
      </c>
      <c r="D80" s="50" t="inlineStr">
        <is>
          <t>https://www.ncbi.nlm.nih.gov/pmc/articles/PMC9502909/</t>
        </is>
      </c>
      <c r="E80" s="50" t="inlineStr">
        <is>
          <t>AFL &amp; AFLW — experienced AFL men 188 ± 7 cm / 86 ± 7.8 kg / BF 12.3 ± 2.1%; experienced AFLW women 171 ± 6.3 cm / 65 ± 6.2 kg / BF 19.2 ± 3.5%.</t>
        </is>
      </c>
    </row>
    <row r="81" ht="55.5" customHeight="1" s="37">
      <c r="A81" s="50" t="inlineStr">
        <is>
          <t>S80</t>
        </is>
      </c>
      <c r="B81" s="50" t="inlineStr">
        <is>
          <t>Kraemer WJ et al. (2005); Gatorade Sports Science Institute (Football Player Body Composition: Importance of Monitoring for Performance and Health).</t>
        </is>
      </c>
      <c r="C81" s="50" t="inlineStr">
        <is>
          <t>Peer-reviewed journal / institute review</t>
        </is>
      </c>
      <c r="D81" s="50" t="inlineStr">
        <is>
          <t>https://www.gssiweb.org/sports-science-exchange/article/sse-145-football-player-body-composition-importance-of-monitoring-for-performance-and-health</t>
        </is>
      </c>
      <c r="E81" s="50" t="inlineStr">
        <is>
          <t>NFL — linemen heaviest at &gt;114 kg; skill positions ~90 kg; lean-mass plateaus above 114 kg; trend toward &gt;300 lb players accelerating since 2009.</t>
        </is>
      </c>
    </row>
    <row r="82" ht="55.5" customHeight="1" s="37">
      <c r="A82" s="50" t="inlineStr">
        <is>
          <t>S81</t>
        </is>
      </c>
      <c r="B82" s="50" t="inlineStr">
        <is>
          <t>Pryor JL et al. (2014). Effects of Football Position on Body Composition by DXA. J Strength Cond Res. Various position-specific NFL/NCAA studies summarised in GSSI (S80).</t>
        </is>
      </c>
      <c r="C82" s="50" t="inlineStr">
        <is>
          <t>Peer-reviewed journal</t>
        </is>
      </c>
      <c r="D82" s="50" t="inlineStr">
        <is>
          <t>https://www.gssiweb.org/sports-science-exchange/article/sse-145-football-player-body-composition-importance-of-monitoring-for-performance-and-health</t>
        </is>
      </c>
      <c r="E82" s="50" t="inlineStr">
        <is>
          <t>American football — position-group means: OL ~191 cm / 138 kg / BF 25%; DL similar; LB ~187 cm / 110 kg / BF 18%; WR/DB ~183 cm / 88 kg / BF 10%; QB ~189 cm / 100 kg / BF 14%.</t>
        </is>
      </c>
    </row>
    <row r="83" ht="55.5" customHeight="1" s="37">
      <c r="A83" s="50" t="inlineStr">
        <is>
          <t>S82</t>
        </is>
      </c>
      <c r="B83" s="50" t="inlineStr">
        <is>
          <t>Simpson MJ, Jenkins DG, Connick MJ, Kelly VG (2019). Positional analysis of elite netball players. Various Netball Australia / Suncorp Super Netball cohort references summarised in Whitehead 2021.</t>
        </is>
      </c>
      <c r="C83" s="50" t="inlineStr">
        <is>
          <t>Peer-reviewed journal</t>
        </is>
      </c>
      <c r="D83" s="50" t="inlineStr">
        <is>
          <t>https://pubmed.ncbi.nlm.nih.gov/30558478/</t>
        </is>
      </c>
      <c r="E83" s="50" t="inlineStr">
        <is>
          <t>Netball — elite Australian players 182.4 ± 7.2 cm / 73.4 ± 7.0 kg; GS/GK tallest, C lightest.</t>
        </is>
      </c>
    </row>
    <row r="84" ht="55.5" customHeight="1" s="37">
      <c r="A84" s="50" t="inlineStr">
        <is>
          <t>S83</t>
        </is>
      </c>
      <c r="B84" s="50" t="inlineStr">
        <is>
          <t>Hogarth L, Farley A, McKenzie M, Burkett B, McKean M (2021). Body composition in professional female netball players within and between seasons. BMC Sports Sci Med Rehabil 13:63.</t>
        </is>
      </c>
      <c r="C84" s="50" t="inlineStr">
        <is>
          <t>Peer-reviewed journal</t>
        </is>
      </c>
      <c r="D84" s="50" t="inlineStr">
        <is>
          <t>https://bmcsportsscimedrehabil.biomedcentral.com/articles/10.1186/s13102-021-00287-z</t>
        </is>
      </c>
      <c r="E84" s="50" t="inlineStr">
        <is>
          <t>Netball — pro female cohort body composition; positional differences GS/GK heavier.</t>
        </is>
      </c>
    </row>
    <row r="85" ht="55.5" customHeight="1" s="37">
      <c r="A85" s="50" t="inlineStr">
        <is>
          <t>S84</t>
        </is>
      </c>
      <c r="B85" s="50" t="inlineStr">
        <is>
          <t>Hauer R et al.; Sell K et al. (2017–2022). Multiple studies of NCAA Division I men's and women's lacrosse anthropometric profiles by position.</t>
        </is>
      </c>
      <c r="C85" s="50" t="inlineStr">
        <is>
          <t>Peer-reviewed journals</t>
        </is>
      </c>
      <c r="D85" s="50" t="inlineStr">
        <is>
          <t>https://pubmed.ncbi.nlm.nih.gov/?term=lacrosse+anthropometric</t>
        </is>
      </c>
      <c r="E85" s="50" t="inlineStr">
        <is>
          <t>Lacrosse — M NCAA midfielders ~184 cm / 88 kg / BF 12%; F NCAA ~167 cm / 65 kg / BF ~22%.</t>
        </is>
      </c>
    </row>
    <row r="86" ht="55.5" customHeight="1" s="37">
      <c r="A86" s="50" t="inlineStr">
        <is>
          <t>S85</t>
        </is>
      </c>
      <c r="B86" s="50" t="inlineStr">
        <is>
          <t>García López J et al. (2021). Anthropometric characteristics and physical fitness in elite futsal male players. A systematic review. Mov Sport Sci 114:19–28.</t>
        </is>
      </c>
      <c r="C86" s="50" t="inlineStr">
        <is>
          <t>Peer-reviewed systematic review</t>
        </is>
      </c>
      <c r="D86" s="50" t="inlineStr">
        <is>
          <t>https://stm.cairn.info/revue-movement-and-sport-sciences-2021-4-page-19?lang=en</t>
        </is>
      </c>
      <c r="E86" s="50" t="inlineStr">
        <is>
          <t>Futsal — elite male, 10-study systematic review; field players have higher VO2max/VT than goalkeepers.</t>
        </is>
      </c>
    </row>
    <row r="87" ht="55.5" customHeight="1" s="37">
      <c r="A87" s="50" t="inlineStr">
        <is>
          <t>S86</t>
        </is>
      </c>
      <c r="B87" s="50" t="inlineStr">
        <is>
          <t>Weber VMR et al. (2024). Trends in anthropometric and somatotype profiles of Brazilian female futsal players: a 20 year study. Eur J Transl Myol.</t>
        </is>
      </c>
      <c r="C87" s="50" t="inlineStr">
        <is>
          <t>Peer-reviewed journal</t>
        </is>
      </c>
      <c r="D87" s="50" t="inlineStr">
        <is>
          <t>https://doaj.org/article/ebd35401ecd74d8295c8912de7f976ab</t>
        </is>
      </c>
      <c r="E87" s="50" t="inlineStr">
        <is>
          <t>Futsal — 396 female Brazilian elite, 20-year longitudinal trend in anthropometry and somatotype.</t>
        </is>
      </c>
    </row>
    <row r="88" ht="56" customHeight="1" s="37">
      <c r="A88" s="70" t="inlineStr">
        <is>
          <t>S87</t>
        </is>
      </c>
      <c r="B88" s="70" t="inlineStr">
        <is>
          <t>Joshi U, et al. (2017). Study of body composition and somatotyping among different groups of throwers. International Journal of Physiology, Nutrition and Physical Education 4(4):122-127.</t>
        </is>
      </c>
      <c r="C88" s="70" t="inlineStr">
        <is>
          <t>Peer-reviewed journal</t>
        </is>
      </c>
      <c r="D88" s="70" t="inlineStr">
        <is>
          <t>https://www.kheljournal.com/archives/2017/vol4issue4/PartD/4-4-32-234.pdf</t>
        </is>
      </c>
      <c r="E88" s="70" t="inlineStr">
        <is>
          <t>Throwing events — somatotype comparison: shot put highest BF, discus tallest, javelin highest ectomorphy, hammer middle.</t>
        </is>
      </c>
    </row>
    <row r="89" ht="56" customHeight="1" s="37">
      <c r="A89" s="70" t="inlineStr">
        <is>
          <t>S88</t>
        </is>
      </c>
      <c r="B89" s="70" t="inlineStr">
        <is>
          <t>Anonymous (2023). Physical fitness and motor competence performance characteristics of Chinese elite youth athletes from four track and field throwing disciplines. Frontiers in Physiology 14:1267804.</t>
        </is>
      </c>
      <c r="C89" s="70" t="inlineStr">
        <is>
          <t>Peer-reviewed journal</t>
        </is>
      </c>
      <c r="D89" s="70" t="inlineStr">
        <is>
          <t>https://www.frontiersin.org/journals/physiology/articles/10.3389/fphys.2023.1267804/full</t>
        </is>
      </c>
      <c r="E89" s="70" t="inlineStr">
        <is>
          <t>Throwing events — 289 elite Chinese youth (101 shot put, 16 hammer, 63 discus, 109 javelin).</t>
        </is>
      </c>
    </row>
    <row r="90" ht="56" customHeight="1" s="37">
      <c r="A90" s="70" t="inlineStr">
        <is>
          <t>S89</t>
        </is>
      </c>
      <c r="B90" s="70" t="inlineStr">
        <is>
          <t>HMMR Media (2013), citing The Sports Gene by David Epstein. The Perfect Physique for Throwing.</t>
        </is>
      </c>
      <c r="C90" s="70" t="inlineStr">
        <is>
          <t>Popular science citing primary research</t>
        </is>
      </c>
      <c r="D90" s="70" t="inlineStr">
        <is>
          <t>https://www.hmmrmedia.com/2013/11/the-perfect-physique-for-throwing/</t>
        </is>
      </c>
      <c r="E90" s="70" t="inlineStr">
        <is>
          <t>Throwing events — historical morphology trends; early throwers vs modern specialists.</t>
        </is>
      </c>
    </row>
    <row r="91" ht="56" customHeight="1" s="37">
      <c r="A91" s="70" t="inlineStr">
        <is>
          <t>S90</t>
        </is>
      </c>
      <c r="B91" s="70" t="inlineStr">
        <is>
          <t>Pavlović R (2022). High jump: are body height and body weight good predictors of performance in elite high jumpers? Sport Mont 20(1).</t>
        </is>
      </c>
      <c r="C91" s="70" t="inlineStr">
        <is>
          <t>Peer-reviewed journal</t>
        </is>
      </c>
      <c r="D91" s="70" t="inlineStr">
        <is>
          <t>https://www.researchgate.net/publication/364316115</t>
        </is>
      </c>
      <c r="E91" s="70" t="inlineStr">
        <is>
          <t>High jump — elite male jumpers, BH and BW correlation with performance; tight male elite cluster 188-195 cm.</t>
        </is>
      </c>
    </row>
    <row r="92" ht="56" customHeight="1" s="37">
      <c r="A92" s="70" t="inlineStr">
        <is>
          <t>S91</t>
        </is>
      </c>
      <c r="B92" s="70" t="inlineStr">
        <is>
          <t>Bogdanis GC, Veligekas P, Selima E, Christofi A, Pafili Z (2013). Nutritional intake of elite high jumpers (7 male, 7 female).</t>
        </is>
      </c>
      <c r="C92" s="70" t="inlineStr">
        <is>
          <t>Peer-reviewed journal</t>
        </is>
      </c>
      <c r="D92" s="70" t="inlineStr">
        <is>
          <t>https://www.researchgate.net/figure/Anthropometric-characteristics-and-height-jumped-for-male-and-female-high-jumpers-from_tbl1_257306507</t>
        </is>
      </c>
      <c r="E92" s="70" t="inlineStr">
        <is>
          <t>High jump — female 2012 Olympic finalists (n=12): mean BMI 18.3 ± 0.3.</t>
        </is>
      </c>
    </row>
    <row r="93" ht="56" customHeight="1" s="37">
      <c r="A93" s="70" t="inlineStr">
        <is>
          <t>S92</t>
        </is>
      </c>
      <c r="B93" s="70" t="inlineStr">
        <is>
          <t>Reichmuth I, et al. (2025). Sex Differences and the Relationship Between Athlete Anthropometrics and Long Jump Performance at National Elite Level. PMC11942946.</t>
        </is>
      </c>
      <c r="C93" s="70" t="inlineStr">
        <is>
          <t>Peer-reviewed journal</t>
        </is>
      </c>
      <c r="D93" s="70" t="inlineStr">
        <is>
          <t>https://www.ncbi.nlm.nih.gov/pmc/articles/PMC11942946/</t>
        </is>
      </c>
      <c r="E93" s="70" t="inlineStr">
        <is>
          <t>Long jump — 39 male and 22 female national-elite jumpers; chest circumference + sex explained 51.9% of distance variance.</t>
        </is>
      </c>
    </row>
    <row r="94" ht="56" customHeight="1" s="37">
      <c r="A94" s="70" t="inlineStr">
        <is>
          <t>S93</t>
        </is>
      </c>
      <c r="B94" s="70" t="inlineStr">
        <is>
          <t>Pavlović R (2023). Long jump: are body height and body weight good predictors of performance in elite jumpers? Sport Mont 21.</t>
        </is>
      </c>
      <c r="C94" s="70" t="inlineStr">
        <is>
          <t>Peer-reviewed journal</t>
        </is>
      </c>
      <c r="D94" s="70" t="inlineStr">
        <is>
          <t>https://www.researchgate.net/publication/367167655</t>
        </is>
      </c>
      <c r="E94" s="70" t="inlineStr">
        <is>
          <t>Long jump — 21 top male jumpers: 184.19 ± 4.68 cm / 78.86 ± 6.81 kg.</t>
        </is>
      </c>
    </row>
    <row r="95" ht="56" customHeight="1" s="37">
      <c r="A95" s="70" t="inlineStr">
        <is>
          <t>S94</t>
        </is>
      </c>
      <c r="B95" s="70" t="inlineStr">
        <is>
          <t>PoleVaultPower (2006) data on top-20 vs mid-20 elite vaulters. Statistical summary of World Athletics jumpers.</t>
        </is>
      </c>
      <c r="C95" s="70" t="inlineStr">
        <is>
          <t>Industry data summary</t>
        </is>
      </c>
      <c r="D95" s="70" t="inlineStr">
        <is>
          <t>http://www.polevaultpower.com/forum/viewtopic.php?t=7544</t>
        </is>
      </c>
      <c r="E95" s="70" t="inlineStr">
        <is>
          <t>Pole vault — Top-20 men 186.3 cm / 78.9 kg; top-20 women 171 cm / 59.25 kg.</t>
        </is>
      </c>
    </row>
    <row r="96" ht="56" customHeight="1" s="37">
      <c r="A96" s="70" t="inlineStr">
        <is>
          <t>S95</t>
        </is>
      </c>
      <c r="B96" s="70" t="inlineStr">
        <is>
          <t>Various (2018). Comparative analysis of selected anthropometric parameters in high, long, and triple jumpers.</t>
        </is>
      </c>
      <c r="C96" s="70" t="inlineStr">
        <is>
          <t>Peer-reviewed journal</t>
        </is>
      </c>
      <c r="D96" s="70" t="inlineStr">
        <is>
          <t>https://www.allresearchjournal.com/archives/2018/vol4issue2/PartD/4-2-28-977.pdf</t>
        </is>
      </c>
      <c r="E96" s="70" t="inlineStr">
        <is>
          <t>Jumps — comparison shows triple jumpers more mesomorphic, high jumpers most ectomorphic, long jumpers between.</t>
        </is>
      </c>
    </row>
    <row r="97" ht="56" customHeight="1" s="37">
      <c r="A97" s="70" t="inlineStr">
        <is>
          <t>S96</t>
        </is>
      </c>
      <c r="B97" s="70" t="inlineStr">
        <is>
          <t>Ackland TR, et al. (1998). Anthropometric profiles of elite triathletes. ITU World Championships Perth, n=87.</t>
        </is>
      </c>
      <c r="C97" s="70" t="inlineStr">
        <is>
          <t>Peer-reviewed journal</t>
        </is>
      </c>
      <c r="D97" s="70" t="inlineStr">
        <is>
          <t>https://www.researchgate.net/publication/13553892</t>
        </is>
      </c>
      <c r="E97" s="70" t="inlineStr">
        <is>
          <t>Triathlon — 19 senior elite male/female + 29/20 junior elite. Triathletes a little smaller than the average Olympian.</t>
        </is>
      </c>
    </row>
    <row r="98" ht="56" customHeight="1" s="37">
      <c r="A98" s="70" t="inlineStr">
        <is>
          <t>S97</t>
        </is>
      </c>
      <c r="B98" s="70" t="inlineStr">
        <is>
          <t>Couzens A (2017). Ideal height weight ratios for Ironman triathletes. Real-world data from 100+ world-class Ironman competitors.</t>
        </is>
      </c>
      <c r="C98" s="70" t="inlineStr">
        <is>
          <t>Industry analysis</t>
        </is>
      </c>
      <c r="D98" s="70" t="inlineStr">
        <is>
          <t>https://www.alancouzens.com/blog/height_weight.html</t>
        </is>
      </c>
      <c r="E98" s="70" t="inlineStr">
        <is>
          <t>Ironman triathlon — male elite cluster ~177 cm / 70 kg / BMI 22.4; height-weight has a narrower band than draft-legal Olympic distance.</t>
        </is>
      </c>
    </row>
    <row r="99" ht="56" customHeight="1" s="37">
      <c r="A99" s="70" t="inlineStr">
        <is>
          <t>S98</t>
        </is>
      </c>
      <c r="B99" s="70" t="inlineStr">
        <is>
          <t>TopEndSports analysis of London 2012 Olympic triathlon athlete data.</t>
        </is>
      </c>
      <c r="C99" s="70" t="inlineStr">
        <is>
          <t>Aggregator citing official data</t>
        </is>
      </c>
      <c r="D99" s="70" t="inlineStr">
        <is>
          <t>https://www.topendsports.com/sport/triathlon/anthropometry.htm</t>
        </is>
      </c>
      <c r="E99" s="70" t="inlineStr">
        <is>
          <t>Triathlon — male 178 cm / 69 kg; female 167 cm / 56 kg. Lower BMI than average Olympian.</t>
        </is>
      </c>
    </row>
    <row r="100" ht="56" customHeight="1" s="37">
      <c r="A100" s="70" t="inlineStr">
        <is>
          <t>S99</t>
        </is>
      </c>
      <c r="B100" s="70" t="inlineStr">
        <is>
          <t>Barlow MJ, Findlay M, Gresty K, Cooke C (2014). Anthropometric variables and their relationship to performance and ability in male surfers. Eur J Sport Sci 14:S171–S177.</t>
        </is>
      </c>
      <c r="C100" s="70" t="inlineStr">
        <is>
          <t>Peer-reviewed journal</t>
        </is>
      </c>
      <c r="D100" s="70" t="inlineStr">
        <is>
          <t>https://pubmed.ncbi.nlm.nih.gov/?term=Barlow+surfers+anthropometric</t>
        </is>
      </c>
      <c r="E100" s="70" t="inlineStr">
        <is>
          <t>Surfing — male competitive surfers; upper-body endurance and paddle power predict; mesomorphic somatotype dominant.</t>
        </is>
      </c>
    </row>
    <row r="101" ht="56" customHeight="1" s="37">
      <c r="A101" s="70" t="inlineStr">
        <is>
          <t>S100</t>
        </is>
      </c>
      <c r="B101" s="70" t="inlineStr">
        <is>
          <t>Anthropometric and physiological data for arm wrestlers — synthesised from related literature on forearm strength, biomechanics of elbow flexion, and grip strength in combat-sport athletes. Sport-specific peer-reviewed anthropometric studies are limited.</t>
        </is>
      </c>
      <c r="C101" s="70" t="inlineStr">
        <is>
          <t>Synthesised from related literature</t>
        </is>
      </c>
      <c r="D101" s="70" t="inlineStr">
        <is>
          <t>Multiple</t>
        </is>
      </c>
      <c r="E101" s="70" t="inlineStr">
        <is>
          <t>Arm wrestling — limited peer-reviewed anthropometric data exists; profile drawn from biomechanics and combat-sport adjacencies. Short forearm advantageous (lever), large hand and grip strength critical. Flagged as lower-confidence entry.</t>
        </is>
      </c>
    </row>
    <row r="102" ht="56" customHeight="1" s="37">
      <c r="A102" s="70" t="inlineStr">
        <is>
          <t>S101</t>
        </is>
      </c>
      <c r="B102" s="70" t="inlineStr">
        <is>
          <t>USA Pickleball / industry surveys (2023-2024). The Sport and Fitness Industry Association annual Pickleball participation report.</t>
        </is>
      </c>
      <c r="C102" s="70" t="inlineStr">
        <is>
          <t>Industry data</t>
        </is>
      </c>
      <c r="D102" s="70" t="inlineStr">
        <is>
          <t>https://usapickleball.org/news-media/the-2023-state-of-pickleball-participation-and-infrastructure-reports/</t>
        </is>
      </c>
      <c r="E102" s="70" t="inlineStr">
        <is>
          <t>Pickleball — fastest-growing US sport; broad age range; physical demands far lower than tennis. Peer-reviewed anthropometric studies of elite pickleball are emergent.</t>
        </is>
      </c>
    </row>
    <row r="103" ht="56" customHeight="1" s="37">
      <c r="A103" s="70" t="inlineStr">
        <is>
          <t>S102</t>
        </is>
      </c>
      <c r="B103" s="70" t="inlineStr">
        <is>
          <t>Curling Canada Sport Science. Physical demands and athlete profile in elite curling. Wide range of body types tolerated.</t>
        </is>
      </c>
      <c r="C103" s="70" t="inlineStr">
        <is>
          <t>Sport governing body</t>
        </is>
      </c>
      <c r="D103" s="70" t="inlineStr">
        <is>
          <t>https://www.curling.ca/about-the-sport/sport-science/</t>
        </is>
      </c>
      <c r="E103" s="70" t="inlineStr">
        <is>
          <t>Curling — broad body-type tolerance; precision, balance, sliding-leg flexibility, and anaerobic burst (sweeping) more important than mass or height.</t>
        </is>
      </c>
    </row>
    <row r="104" ht="56" customHeight="1" s="37">
      <c r="A104" s="70" t="inlineStr">
        <is>
          <t>S103</t>
        </is>
      </c>
      <c r="B104" s="70" t="inlineStr">
        <is>
          <t>Ultimate Players Association / FIT (2018). Player physical demand surveys for international-level Ultimate Frisbee.</t>
        </is>
      </c>
      <c r="C104" s="70" t="inlineStr">
        <is>
          <t>Sport governing body</t>
        </is>
      </c>
      <c r="D104" s="70" t="inlineStr">
        <is>
          <t>https://wfdf.sport</t>
        </is>
      </c>
      <c r="E104" s="70" t="inlineStr">
        <is>
          <t>Ultimate Frisbee — endurance + sprint + jumping profile; closer to soccer than to field hockey. Recreational accessibility high.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B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6" min="1" max="1"/>
    <col width="100" customWidth="1" style="36" min="2" max="2"/>
  </cols>
  <sheetData>
    <row r="1" ht="49.5" customHeight="1" s="37">
      <c r="A1" s="71" t="inlineStr">
        <is>
          <t>Column</t>
        </is>
      </c>
      <c r="B1" s="71" t="inlineStr">
        <is>
          <t>Definition / convention</t>
        </is>
      </c>
    </row>
    <row r="2" ht="49.5" customHeight="1" s="37">
      <c r="A2" s="47" t="inlineStr">
        <is>
          <t>Sport ID</t>
        </is>
      </c>
      <c r="B2" s="50" t="inlineStr">
        <is>
          <t>Short code. Use suffix b, c, etc. for additional positions in the same sport (e.g. SP01 outfield, SP01b goalkeeper).</t>
        </is>
      </c>
    </row>
    <row r="3" ht="49.5" customHeight="1" s="37">
      <c r="A3" s="47" t="inlineStr">
        <is>
          <t>Sport</t>
        </is>
      </c>
      <c r="B3" s="50" t="inlineStr">
        <is>
          <t>Common name.</t>
        </is>
      </c>
    </row>
    <row r="4" ht="49.5" customHeight="1" s="37">
      <c r="A4" s="47" t="inlineStr">
        <is>
          <t>Position / Discipline</t>
        </is>
      </c>
      <c r="B4" s="50" t="inlineStr">
        <is>
          <t>If a sport has dramatically different physical profiles by position, split into multiple rows. Default 'All positions' if differences are small.</t>
        </is>
      </c>
    </row>
    <row r="5" ht="49.5" customHeight="1" s="37">
      <c r="A5" s="47" t="inlineStr">
        <is>
          <t>Category</t>
        </is>
      </c>
      <c r="B5" s="50" t="inlineStr">
        <is>
          <t>High-level type: Team field, Team court, Endurance individual, Individual racquet, Individual technical, Individual aesthetic, Individual power-speed, Combat, etc.</t>
        </is>
      </c>
    </row>
    <row r="6" ht="49.5" customHeight="1" s="37">
      <c r="A6" s="47" t="inlineStr">
        <is>
          <t>Height / Weight / BMI / BF%</t>
        </is>
      </c>
      <c r="B6" s="50" t="inlineStr">
        <is>
          <t>From elite-athlete studies, male unless noted. Mean ± SD where the source provides it. SD width is itself signal — tight SD = strict physical constraint.</t>
        </is>
      </c>
    </row>
    <row r="7" ht="49.5" customHeight="1" s="37">
      <c r="A7" s="47" t="inlineStr">
        <is>
          <t>Wingspan / height ratio</t>
        </is>
      </c>
      <c r="B7" s="50" t="inlineStr">
        <is>
          <t>Mean. Only populated where the source reports it. Values &gt;1.0 mean wingspan exceeds height. NBA mean 1.063; rower wingspan often 1.04+; climbers ~1.02.</t>
        </is>
      </c>
    </row>
    <row r="8" ht="49.5" customHeight="1" s="37">
      <c r="A8" s="47" t="inlineStr">
        <is>
          <t>Sitting-height / stature ratio</t>
        </is>
      </c>
      <c r="B8" s="50" t="inlineStr">
        <is>
          <t>Long torso vs long legs. Higher = longer torso (rowing favoured); lower = longer legs (running favoured). Not yet populated for most rows — flagged for future fill from anthropometric atlas sources.</t>
        </is>
      </c>
    </row>
    <row r="9" ht="49.5" customHeight="1" s="37">
      <c r="A9" s="47" t="inlineStr">
        <is>
          <t>Aerobic / Anaerobic / Max strength / Power / Speed / Endurance / Flexibility / Coordination / Reaction</t>
        </is>
      </c>
      <c r="B9" s="50" t="inlineStr">
        <is>
          <t>0–10 demand score. Subjective assignment from literature. The point isn't precision — it's discriminating between sports for matching. Refine by sanity-testing against known archetypes.</t>
        </is>
      </c>
    </row>
    <row r="10" ht="49.5" customHeight="1" s="37">
      <c r="A10" s="47" t="inlineStr">
        <is>
          <t>Team size</t>
        </is>
      </c>
      <c r="B10" s="50" t="inlineStr">
        <is>
          <t>Number on field at any one time per side. 1 for individual sports.</t>
        </is>
      </c>
    </row>
    <row r="11" ht="49.5" customHeight="1" s="37">
      <c r="A11" s="47" t="inlineStr">
        <is>
          <t>Contact level</t>
        </is>
      </c>
      <c r="B11" s="50" t="inlineStr">
        <is>
          <t>None / Light / Medium / Heavy. Matters for user preference matching.</t>
        </is>
      </c>
    </row>
    <row r="12" ht="49.5" customHeight="1" s="37">
      <c r="A12" s="47" t="inlineStr">
        <is>
          <t>Environment</t>
        </is>
      </c>
      <c r="B12" s="50" t="inlineStr">
        <is>
          <t>Outdoor / Indoor / Both / Water. Combine with water-based flag for filtering.</t>
        </is>
      </c>
    </row>
    <row r="13" ht="49.5" customHeight="1" s="37">
      <c r="A13" s="47" t="inlineStr">
        <is>
          <t>Water-based</t>
        </is>
      </c>
      <c r="B13" s="50" t="inlineStr">
        <is>
          <t>Yes / No. Hard filter for users who can't or won't be in water.</t>
        </is>
      </c>
    </row>
    <row r="14" ht="49.5" customHeight="1" s="37">
      <c r="A14" s="47" t="inlineStr">
        <is>
          <t>Equipment cost</t>
        </is>
      </c>
      <c r="B14" s="50" t="inlineStr">
        <is>
          <t>Low (&lt;€200 to start), Medium (€200–1000), High (&gt;€1000). Approximate.</t>
        </is>
      </c>
    </row>
    <row r="15" ht="49.5" customHeight="1" s="37">
      <c r="A15" s="47" t="inlineStr">
        <is>
          <t>Typical entry age</t>
        </is>
      </c>
      <c r="B15" s="50" t="inlineStr">
        <is>
          <t>Range when most participants begin. 'Any' for sports with no critical window. Children's starting ages matter for the school/youth product.</t>
        </is>
      </c>
    </row>
    <row r="16" ht="49.5" customHeight="1" s="37">
      <c r="A16" s="47" t="inlineStr">
        <is>
          <t>Injury risk</t>
        </is>
      </c>
      <c r="B16" s="50" t="inlineStr">
        <is>
          <t>Low / Medium / High. Subjective — useful for filtering older or recovering users.</t>
        </is>
      </c>
    </row>
    <row r="17" ht="49.5" customHeight="1" s="37">
      <c r="A17" s="47" t="inlineStr">
        <is>
          <t>Ireland accessibility (1–10)</t>
        </is>
      </c>
      <c r="B17" s="50" t="inlineStr">
        <is>
          <t>How easy to start locally. 10 = club in every town. 1 = need to travel or move. Particularly relevant for the Kilkenny / South-East context.</t>
        </is>
      </c>
    </row>
    <row r="18" ht="49.5" customHeight="1" s="37">
      <c r="A18" s="47" t="inlineStr">
        <is>
          <t>Local clubs prevalent</t>
        </is>
      </c>
      <c r="B18" s="50" t="inlineStr">
        <is>
          <t>Yes / Some / Growing / No. Coarse-grained signal.</t>
        </is>
      </c>
    </row>
    <row r="19" ht="49.5" customHeight="1" s="37">
      <c r="A19" s="47" t="inlineStr">
        <is>
          <t>Primary Source IDs</t>
        </is>
      </c>
      <c r="B19" s="50" t="inlineStr">
        <is>
          <t>Comma-separated codes from the Sources sheet. Every numeric value on the row should be traceable to a source listed here.</t>
        </is>
      </c>
    </row>
    <row r="20" ht="49.5" customHeight="1" s="37">
      <c r="A20" s="47" t="inlineStr">
        <is>
          <t>Notes</t>
        </is>
      </c>
      <c r="B20" s="50" t="inlineStr">
        <is>
          <t>Caveats, position differences, sample-specific context.</t>
        </is>
      </c>
    </row>
    <row r="21" ht="60" customHeight="1" s="37">
      <c r="A21" s="47" t="inlineStr">
        <is>
          <t>Female rows convention (v0.2)</t>
        </is>
      </c>
      <c r="B21" s="50" t="inlineStr">
        <is>
          <t>Female-specific rows use suffix F (e.g. SP01F for soccer female). Male rows currently have no suffix to avoid breaking existing IDs; v0.3 should consider renaming male rows to suffix M for symmetry. Position splits (e.g. SP01b) and sex splits can coexist — a female goalkeeper would be SP01bF.</t>
        </is>
      </c>
    </row>
    <row r="22" ht="99.75" customHeight="1" s="37">
      <c r="A22" s="47" t="inlineStr">
        <is>
          <t>Sex column (column AG) — added in v1.2</t>
        </is>
      </c>
      <c r="B22" s="50" t="inlineStr">
        <is>
          <t>Explicit M / F tag for each sport row. Drives the Scoring sheet's sex-match logic. Female-only sports (camogie, ladies Gaelic football, AFLW, etc.) are tagged F regardless of whether the sport ID ends in 'F'. Female users get full credit on F rows and 0.3 partial credit on M rows; male users get full credit on M rows and 0 (hard exclusion) on F rows. Sports that have no meaningful sex difference at recreational level could be tagged 'Both' in a future pass, but currently every row is M or F.</t>
        </is>
      </c>
    </row>
    <row r="23" ht="109.5" customHeight="1" s="37">
      <c r="A23" s="47" t="inlineStr">
        <is>
          <t>Team/solo 'Either' behaviour — clarified in v1.2</t>
        </is>
      </c>
      <c r="B23" s="50" t="inlineStr">
        <is>
          <t>In v1.1 the 'Either' option gave full credit (1.0) to every sport, which effectively removed the team/solo dimension from the enjoyment calculation. In v1.2 'Either' now computes as the average of the team-fit and solo-fit, so genuine team sports (team_size ≥ 4) and genuine solo sports (team_size ≤ 2 or category = Individual) both score well, while in-between team sizes score middling. This means picking 'Either' now produces a meaningfully different ranking than picking 'Team' or 'Solo' rather than just removing the constraint.</t>
        </is>
      </c>
    </row>
    <row r="24" ht="60" customHeight="1" s="37">
      <c r="A24" s="72" t="inlineStr">
        <is>
          <t>Sex match (v1.3 update)</t>
        </is>
      </c>
      <c r="B24" s="41" t="inlineStr">
        <is>
          <t>Strict filter from v1.3 onward: M user + F row → 0 (excluded); F user + M row → 0 (excluded). Replaces the 0.3 partial-credit logic of v1.2. Same-sex matches get full credit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36" min="1" max="1"/>
    <col width="22" customWidth="1" style="36" min="2" max="3"/>
    <col width="60" customWidth="1" style="36" min="4" max="4"/>
  </cols>
  <sheetData>
    <row r="1" ht="37.5" customHeight="1" s="37">
      <c r="A1" s="71" t="inlineStr">
        <is>
          <t>Component</t>
        </is>
      </c>
      <c r="B1" s="71" t="inlineStr">
        <is>
          <t>Weight</t>
        </is>
      </c>
      <c r="C1" s="71" t="inlineStr">
        <is>
          <t>Where it lives</t>
        </is>
      </c>
      <c r="D1" s="71" t="inlineStr">
        <is>
          <t>Notes</t>
        </is>
      </c>
    </row>
    <row r="2" ht="37.5" customHeight="1" s="37">
      <c r="A2" s="50" t="inlineStr">
        <is>
          <t>Height fit</t>
        </is>
      </c>
      <c r="B2" s="50" t="n">
        <v>0.15</v>
      </c>
      <c r="C2" s="50" t="inlineStr">
        <is>
          <t>Built-for, col E</t>
        </is>
      </c>
      <c r="D2" s="50" t="inlineStr">
        <is>
          <t>Penalty if outside sport's height SD band. Soft.</t>
        </is>
      </c>
    </row>
    <row r="3" ht="37.5" customHeight="1" s="37">
      <c r="A3" s="50" t="inlineStr">
        <is>
          <t>Weight fit</t>
        </is>
      </c>
      <c r="B3" s="50" t="n">
        <v>0.15</v>
      </c>
      <c r="C3" s="50" t="inlineStr">
        <is>
          <t>Built-for, col F</t>
        </is>
      </c>
      <c r="D3" s="50" t="inlineStr">
        <is>
          <t>Same approach for weight.</t>
        </is>
      </c>
    </row>
    <row r="4" ht="37.5" customHeight="1" s="37">
      <c r="A4" s="50" t="inlineStr">
        <is>
          <t>Body fat % fit</t>
        </is>
      </c>
      <c r="B4" s="50" t="n">
        <v>0.15</v>
      </c>
      <c r="C4" s="50" t="inlineStr">
        <is>
          <t>Built-for, col G</t>
        </is>
      </c>
      <c r="D4" s="50" t="inlineStr">
        <is>
          <t>Tolerance 5 percentage points.</t>
        </is>
      </c>
    </row>
    <row r="5" ht="37.5" customHeight="1" s="37">
      <c r="A5" s="50" t="inlineStr">
        <is>
          <t>Wingspan/height ratio fit</t>
        </is>
      </c>
      <c r="B5" s="50" t="n">
        <v>0.15</v>
      </c>
      <c r="C5" s="50" t="inlineStr">
        <is>
          <t>Built-for, col H</t>
        </is>
      </c>
      <c r="D5" s="50" t="inlineStr">
        <is>
          <t>Tolerance 0.03. Only applied when sport has data.</t>
        </is>
      </c>
    </row>
    <row r="6" ht="37.5" customHeight="1" s="37">
      <c r="A6" s="50" t="inlineStr">
        <is>
          <t>Demand-profile fit</t>
        </is>
      </c>
      <c r="B6" s="50" t="n">
        <v>0.4</v>
      </c>
      <c r="C6" s="50" t="inlineStr">
        <is>
          <t>Built-for, col I</t>
        </is>
      </c>
      <c r="D6" s="50" t="inlineStr">
        <is>
          <t>Largest single contributor — physiological dominance.</t>
        </is>
      </c>
    </row>
    <row r="7" ht="37.5" customHeight="1" s="37">
      <c r="A7" s="50" t="n"/>
      <c r="B7" s="50" t="n"/>
      <c r="C7" s="50" t="n"/>
      <c r="D7" s="50" t="n"/>
    </row>
    <row r="8" ht="37.5" customHeight="1" s="37">
      <c r="A8" s="50" t="inlineStr">
        <is>
          <t>Sex match</t>
        </is>
      </c>
      <c r="B8" s="50" t="inlineStr">
        <is>
          <t>filter</t>
        </is>
      </c>
      <c r="C8" s="50" t="inlineStr">
        <is>
          <t>Enjoyment, col K</t>
        </is>
      </c>
      <c r="D8" s="50" t="inlineStr">
        <is>
          <t>Hard exclusion if M user vs F-only row (or vice versa).</t>
        </is>
      </c>
    </row>
    <row r="9" ht="37.5" customHeight="1" s="37">
      <c r="A9" s="50" t="inlineStr">
        <is>
          <t>Team/solo match</t>
        </is>
      </c>
      <c r="B9" s="50" t="n">
        <v>0.2</v>
      </c>
      <c r="C9" s="50" t="inlineStr">
        <is>
          <t>Enjoyment, col L</t>
        </is>
      </c>
      <c r="D9" s="50" t="inlineStr">
        <is>
          <t>Penalised if mismatch.</t>
        </is>
      </c>
    </row>
    <row r="10" ht="37.5" customHeight="1" s="37">
      <c r="A10" s="50" t="inlineStr">
        <is>
          <t>Contact match</t>
        </is>
      </c>
      <c r="B10" s="50" t="n">
        <v>0.2</v>
      </c>
      <c r="C10" s="50" t="inlineStr">
        <is>
          <t>Enjoyment, col M</t>
        </is>
      </c>
      <c r="D10" s="50" t="inlineStr">
        <is>
          <t>Penalty 0.4 per level of overshoot beyond user's tolerance.</t>
        </is>
      </c>
    </row>
    <row r="11" ht="37.5" customHeight="1" s="37">
      <c r="A11" s="50" t="inlineStr">
        <is>
          <t>Indoor / outdoor match</t>
        </is>
      </c>
      <c r="B11" s="50" t="n">
        <v>0.1</v>
      </c>
      <c r="C11" s="50" t="inlineStr">
        <is>
          <t>Enjoyment, col N</t>
        </is>
      </c>
      <c r="D11" s="50" t="inlineStr">
        <is>
          <t>Soft preference.</t>
        </is>
      </c>
    </row>
    <row r="12" ht="37.5" customHeight="1" s="37">
      <c r="A12" s="50" t="inlineStr">
        <is>
          <t>Water OK</t>
        </is>
      </c>
      <c r="B12" s="50" t="inlineStr">
        <is>
          <t>filter</t>
        </is>
      </c>
      <c r="C12" s="50" t="inlineStr">
        <is>
          <t>Enjoyment, col O</t>
        </is>
      </c>
      <c r="D12" s="50" t="inlineStr">
        <is>
          <t>Hard exclusion if user can't be in water and sport is water-based.</t>
        </is>
      </c>
    </row>
    <row r="13" ht="37.5" customHeight="1" s="37">
      <c r="A13" s="50" t="inlineStr">
        <is>
          <t>Budget vs equipment cost</t>
        </is>
      </c>
      <c r="B13" s="50" t="n">
        <v>0.15</v>
      </c>
      <c r="C13" s="50" t="inlineStr">
        <is>
          <t>Enjoyment, col P</t>
        </is>
      </c>
      <c r="D13" s="50" t="inlineStr">
        <is>
          <t>Penalty 0.4 per level of overshoot.</t>
        </is>
      </c>
    </row>
    <row r="14" ht="37.5" customHeight="1" s="37">
      <c r="A14" s="50" t="inlineStr">
        <is>
          <t>Ireland accessibility</t>
        </is>
      </c>
      <c r="B14" s="50" t="n">
        <v>0.25</v>
      </c>
      <c r="C14" s="50" t="inlineStr">
        <is>
          <t>Enjoyment, col Q</t>
        </is>
      </c>
      <c r="D14" s="50" t="inlineStr">
        <is>
          <t>Only weighted when user marks Ireland-based = Yes.</t>
        </is>
      </c>
    </row>
    <row r="15" ht="15" customHeight="1" s="37">
      <c r="A15" s="50" t="n"/>
      <c r="B15" s="50" t="n"/>
      <c r="C15" s="50" t="n"/>
      <c r="D15" s="50" t="n"/>
    </row>
    <row r="16" ht="15" customHeight="1" s="37">
      <c r="A16" s="50" t="inlineStr">
        <is>
          <t>Total = 50% built-for + 50% enjoyment</t>
        </is>
      </c>
      <c r="B16" s="50" t="n"/>
      <c r="C16" s="50" t="inlineStr">
        <is>
          <t>Scoring, col S</t>
        </is>
      </c>
      <c r="D16" s="50" t="inlineStr">
        <is>
          <t>Equal weighting by default; can be tuned per use-case.</t>
        </is>
      </c>
    </row>
    <row r="17" ht="15" customHeight="1" s="37">
      <c r="A17" s="73" t="n"/>
      <c r="C17" s="7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2026-05-25T19:34:04Z</dcterms:created>
  <dcterms:modified xsi:type="dcterms:W3CDTF">2026-05-29T16:07:12Z</dcterms:modified>
  <cp:revision>0</cp:revision>
</cp:coreProperties>
</file>